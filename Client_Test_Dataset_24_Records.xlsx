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et_1_Corporate_Master" sheetId="1" r:id="rId1"/>
    <sheet name="Set_2_Field_Operations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30"/>
  <sheetViews>
    <sheetView workbookViewId="0"/>
  </sheetViews>
  <cols>
    <col min="1" max="1" width="14.83203125" customWidth="1"/>
    <col min="2" max="2" width="25.83203125" customWidth="1"/>
    <col min="3" max="3" width="28.83203125" customWidth="1"/>
    <col min="4" max="4" width="16.83203125" customWidth="1"/>
    <col min="5" max="5" width="14.83203125" customWidth="1"/>
    <col min="6" max="6" width="14.83203125" customWidth="1"/>
    <col min="7" max="7" width="18.83203125" customWidth="1"/>
    <col min="8" max="8" width="22.83203125" customWidth="1"/>
    <col min="9" max="9" width="20.83203125" customWidth="1"/>
    <col min="10" max="10" width="14.83203125" customWidth="1"/>
    <col min="11" max="11" width="45.83203125" customWidth="1"/>
  </cols>
  <sheetData>
    <row r="1">
      <c r="A1" t="str">
        <v>CLIENT MASTER DIRECTORY — GENERAL TEST DATASET (SET 1: CORPORATE REGISTER)</v>
      </c>
    </row>
    <row r="2">
      <c r="A2" t="str">
        <v>24 Mixed Clients | Variable Areas &amp; Amounts | Joined 2018-2026 | Intentional Gaps (Phone, Area, Guarantor) for System Ingestion Testing</v>
      </c>
    </row>
    <row r="4">
      <c r="A4" t="str">
        <v>Client Code</v>
      </c>
      <c r="B4" t="str">
        <v>Customer Name</v>
      </c>
      <c r="C4" t="str">
        <v>Area / Town</v>
      </c>
      <c r="D4" t="str">
        <v>Contact Phone</v>
      </c>
      <c r="E4" t="str">
        <v>Joining Date</v>
      </c>
      <c r="F4" t="str">
        <v>Joining Year</v>
      </c>
      <c r="G4" t="str">
        <v>Credit Limit (INR)</v>
      </c>
      <c r="H4" t="str">
        <v>Daily Installment (INR)</v>
      </c>
      <c r="I4" t="str">
        <v>Guarantor Name</v>
      </c>
      <c r="J4" t="str">
        <v>KYC Status</v>
      </c>
      <c r="K4" t="str">
        <v>Test Scenario / Audit Notes</v>
      </c>
    </row>
    <row r="5">
      <c r="A5" t="str">
        <v>CLI-1001</v>
      </c>
      <c r="B5" t="str">
        <v>Muthukumar M</v>
      </c>
      <c r="C5" t="str">
        <v>Madurai (Simmakkal)</v>
      </c>
      <c r="D5" t="str">
        <v>9842156789</v>
      </c>
      <c r="E5" t="str">
        <v>2019-04-12</v>
      </c>
      <c r="F5">
        <v>2019</v>
      </c>
      <c r="G5">
        <v>25000</v>
      </c>
      <c r="H5">
        <v>750</v>
      </c>
      <c r="I5" t="str">
        <v>S. Palanisamy</v>
      </c>
      <c r="J5" t="str">
        <v>Verified</v>
      </c>
      <c r="K5" t="str">
        <v>Clean baseline record (2019)</v>
      </c>
    </row>
    <row r="6">
      <c r="A6" t="str">
        <v>CLI-1002</v>
      </c>
      <c r="B6" t="str">
        <v>Priya Dharshini S</v>
      </c>
      <c r="C6" t="str">
        <v>Coimbatore (Gandhipuram)</v>
      </c>
      <c r="D6" t="str">
        <v>9443218765</v>
      </c>
      <c r="E6" t="str">
        <v>2021-08-20</v>
      </c>
      <c r="F6">
        <v>2021</v>
      </c>
      <c r="G6">
        <v>50000</v>
      </c>
      <c r="H6">
        <v>1500</v>
      </c>
      <c r="I6" t="str">
        <v>R. Saravanan</v>
      </c>
      <c r="J6" t="str">
        <v>Verified</v>
      </c>
      <c r="K6" t="str">
        <v>Medium amount, female borrower</v>
      </c>
    </row>
    <row r="7">
      <c r="A7" t="str">
        <v>CLI-1003</v>
      </c>
      <c r="B7" t="str">
        <v>Mohammed Farook A</v>
      </c>
      <c r="C7" t="str">
        <v>Tiruppur (Avinashi Road)</v>
      </c>
      <c r="D7" t="str">
        <v/>
      </c>
      <c r="E7" t="str">
        <v>2020-02-15</v>
      </c>
      <c r="F7">
        <v>2020</v>
      </c>
      <c r="G7">
        <v>75000</v>
      </c>
      <c r="H7">
        <v>2250</v>
      </c>
      <c r="I7" t="str">
        <v>K. Ismail</v>
      </c>
      <c r="J7" t="str">
        <v>Incomplete</v>
      </c>
      <c r="K7" t="str">
        <v>MISSING PHONE NUMBER test case</v>
      </c>
    </row>
    <row r="8">
      <c r="A8" t="str">
        <v>CLI-1004</v>
      </c>
      <c r="B8" t="str">
        <v>Arumugam V</v>
      </c>
      <c r="C8" t="str">
        <v>Salem (Five Roads)</v>
      </c>
      <c r="D8" t="str">
        <v>9789123456</v>
      </c>
      <c r="E8" t="str">
        <v>2018-11-05</v>
      </c>
      <c r="F8">
        <v>2018</v>
      </c>
      <c r="G8">
        <v>10000</v>
      </c>
      <c r="H8">
        <v>350</v>
      </c>
      <c r="I8" t="str">
        <v/>
      </c>
      <c r="J8" t="str">
        <v>Verified</v>
      </c>
      <c r="K8" t="str">
        <v>Oldest account (2018), missing guarantor</v>
      </c>
    </row>
    <row r="9">
      <c r="A9" t="str">
        <v>CLI-1005</v>
      </c>
      <c r="B9" t="str">
        <v>Deepa Lakshmi K</v>
      </c>
      <c r="C9" t="str">
        <v/>
      </c>
      <c r="D9" t="str">
        <v>9894561230</v>
      </c>
      <c r="E9" t="str">
        <v>2023-06-18</v>
      </c>
      <c r="F9">
        <v>2023</v>
      </c>
      <c r="G9">
        <v>30000</v>
      </c>
      <c r="H9">
        <v>900</v>
      </c>
      <c r="I9" t="str">
        <v>T. Karthikeyan</v>
      </c>
      <c r="J9" t="str">
        <v>Pending</v>
      </c>
      <c r="K9" t="str">
        <v>MISSING LOCATION (Area &amp; Address blank)</v>
      </c>
    </row>
    <row r="10">
      <c r="A10" t="str">
        <v>CLI-1006</v>
      </c>
      <c r="B10" t="str">
        <v>Balasubramanian R</v>
      </c>
      <c r="C10" t="str">
        <v>Erode (Brough Road)</v>
      </c>
      <c r="D10" t="str">
        <v>9865123987</v>
      </c>
      <c r="E10" t="str">
        <v>2022-01-10</v>
      </c>
      <c r="F10">
        <v>2022</v>
      </c>
      <c r="G10">
        <v>120000</v>
      </c>
      <c r="H10">
        <v>3600</v>
      </c>
      <c r="I10" t="str">
        <v>B. Murugesan</v>
      </c>
      <c r="J10" t="str">
        <v>Verified</v>
      </c>
      <c r="K10" t="str">
        <v>High value loan (₹1,20,000), complete data</v>
      </c>
    </row>
    <row r="11">
      <c r="A11" t="str">
        <v>CLI-1007</v>
      </c>
      <c r="B11" t="str">
        <v>Shanthi T</v>
      </c>
      <c r="C11" t="str">
        <v>Dindigul (Palani Road)</v>
      </c>
      <c r="D11" t="str">
        <v/>
      </c>
      <c r="E11" t="str">
        <v>2024-03-25</v>
      </c>
      <c r="F11">
        <v>2024</v>
      </c>
      <c r="G11">
        <v>15000</v>
      </c>
      <c r="H11">
        <v>450</v>
      </c>
      <c r="I11" t="str">
        <v/>
      </c>
      <c r="J11" t="str">
        <v>Incomplete</v>
      </c>
      <c r="K11" t="str">
        <v>MISSING PHONE &amp; GUARANTOR (Dual missing)</v>
      </c>
    </row>
    <row r="12">
      <c r="A12" t="str">
        <v>CLI-1008</v>
      </c>
      <c r="B12" t="str">
        <v>Venkatesh G</v>
      </c>
      <c r="C12" t="str">
        <v>Trichy (Thillai Nagar)</v>
      </c>
      <c r="D12" t="str">
        <v>9944556677</v>
      </c>
      <c r="E12" t="str">
        <v>2025-05-14</v>
      </c>
      <c r="F12">
        <v>2025</v>
      </c>
      <c r="G12">
        <v>8500</v>
      </c>
      <c r="H12">
        <v>260</v>
      </c>
      <c r="I12" t="str">
        <v>P. Ramesh</v>
      </c>
      <c r="J12" t="str">
        <v>Verified</v>
      </c>
      <c r="K12" t="str">
        <v>Micro-loan (₹8,500), recent year 2025</v>
      </c>
    </row>
    <row r="13">
      <c r="A13" t="str">
        <v>CLI-1009</v>
      </c>
      <c r="B13" t="str">
        <v>Kavitha N</v>
      </c>
      <c r="C13" t="str">
        <v>Pollachi (New Scheme Road)</v>
      </c>
      <c r="D13" t="str">
        <v>9488112233</v>
      </c>
      <c r="E13" t="str">
        <v>2021-12-01</v>
      </c>
      <c r="F13">
        <v>2021</v>
      </c>
      <c r="G13">
        <v>45000</v>
      </c>
      <c r="H13">
        <v>1350</v>
      </c>
      <c r="I13" t="str">
        <v>N. Mani</v>
      </c>
      <c r="J13" t="str">
        <v>Verified</v>
      </c>
      <c r="K13" t="str">
        <v>Mid-tier loan, semi-urban agro hub</v>
      </c>
    </row>
    <row r="14">
      <c r="A14" t="str">
        <v>CLI-1010</v>
      </c>
      <c r="B14" t="str">
        <v>Selvam P</v>
      </c>
      <c r="C14" t="str">
        <v>Karur (Bus Stand)</v>
      </c>
      <c r="D14" t="str">
        <v>9843334455</v>
      </c>
      <c r="E14" t="str">
        <v>2019-09-08</v>
      </c>
      <c r="F14">
        <v>2019</v>
      </c>
      <c r="G14">
        <v>20000</v>
      </c>
      <c r="H14">
        <v>600</v>
      </c>
      <c r="I14" t="str">
        <v>S. Loganathan</v>
      </c>
      <c r="J14" t="str">
        <v>Verified</v>
      </c>
      <c r="K14" t="str">
        <v>Regular retail account (2019)</v>
      </c>
    </row>
    <row r="15">
      <c r="A15" t="str">
        <v>CLI-1011</v>
      </c>
      <c r="B15" t="str">
        <v>Anitha C</v>
      </c>
      <c r="C15" t="str">
        <v>Chennai (T. Nagar)</v>
      </c>
      <c r="D15" t="str">
        <v/>
      </c>
      <c r="E15" t="str">
        <v>2023-11-22</v>
      </c>
      <c r="F15">
        <v>2023</v>
      </c>
      <c r="G15">
        <v>200000</v>
      </c>
      <c r="H15">
        <v>6000</v>
      </c>
      <c r="I15" t="str">
        <v>C. Rajan</v>
      </c>
      <c r="J15" t="str">
        <v>Pending</v>
      </c>
      <c r="K15" t="str">
        <v>Highest ticket (₹2,00,000), MISSING PHONE</v>
      </c>
    </row>
    <row r="16">
      <c r="A16" t="str">
        <v>CLI-1012</v>
      </c>
      <c r="B16" t="str">
        <v>Franklin David J</v>
      </c>
      <c r="C16" t="str">
        <v>Tirunelveli (Palayamkottai)</v>
      </c>
      <c r="D16" t="str">
        <v>9751223344</v>
      </c>
      <c r="E16" t="str">
        <v>2020-07-30</v>
      </c>
      <c r="F16">
        <v>2020</v>
      </c>
      <c r="G16">
        <v>35000</v>
      </c>
      <c r="H16">
        <v>1050</v>
      </c>
      <c r="I16" t="str">
        <v>J. Mary</v>
      </c>
      <c r="J16" t="str">
        <v>Verified</v>
      </c>
      <c r="K16" t="str">
        <v>South region borrower, complete</v>
      </c>
    </row>
    <row r="17">
      <c r="A17" t="str">
        <v>CLI-1013</v>
      </c>
      <c r="B17" t="str">
        <v>Thangavel B</v>
      </c>
      <c r="C17" t="str">
        <v>Namakkal (Paramathi Road)</v>
      </c>
      <c r="D17" t="str">
        <v>9842778899</v>
      </c>
      <c r="E17" t="str">
        <v>2024-09-02</v>
      </c>
      <c r="F17">
        <v>2024</v>
      </c>
      <c r="G17">
        <v>60000</v>
      </c>
      <c r="H17">
        <v>1800</v>
      </c>
      <c r="I17" t="str">
        <v/>
      </c>
      <c r="J17" t="str">
        <v>Verified</v>
      </c>
      <c r="K17" t="str">
        <v>Logistics operator, missing guarantor</v>
      </c>
    </row>
    <row r="18">
      <c r="A18" t="str">
        <v>CLI-1014</v>
      </c>
      <c r="B18" t="str">
        <v>Meenakshi Sundaram S</v>
      </c>
      <c r="C18" t="str">
        <v>Madurai (Goripalayam)</v>
      </c>
      <c r="D18" t="str">
        <v>9994112233</v>
      </c>
      <c r="E18" t="str">
        <v>2022-04-17</v>
      </c>
      <c r="F18">
        <v>2022</v>
      </c>
      <c r="G18">
        <v>18000</v>
      </c>
      <c r="H18">
        <v>540</v>
      </c>
      <c r="I18" t="str">
        <v>S. Sundaram</v>
      </c>
      <c r="J18" t="str">
        <v>Verified</v>
      </c>
      <c r="K18" t="str">
        <v>Long name string test, normal flow</v>
      </c>
    </row>
    <row r="19">
      <c r="A19" t="str">
        <v>CLI-1015</v>
      </c>
      <c r="B19" t="str">
        <v>Rajesh Kannan K</v>
      </c>
      <c r="C19" t="str">
        <v/>
      </c>
      <c r="D19" t="str">
        <v/>
      </c>
      <c r="E19" t="str">
        <v>2023-01-05</v>
      </c>
      <c r="F19">
        <v>2023</v>
      </c>
      <c r="G19">
        <v>40000</v>
      </c>
      <c r="H19">
        <v>1200</v>
      </c>
      <c r="I19" t="str">
        <v/>
      </c>
      <c r="J19" t="str">
        <v>Incomplete</v>
      </c>
      <c r="K19" t="str">
        <v>CRITICAL GAP: Missing Area, Phone &amp; Guarantor</v>
      </c>
    </row>
    <row r="20">
      <c r="A20" t="str">
        <v>CLI-1016</v>
      </c>
      <c r="B20" t="str">
        <v>Revathi M</v>
      </c>
      <c r="C20" t="str">
        <v>Thanjavur (Old Bus Stand)</v>
      </c>
      <c r="D20" t="str">
        <v>9442667788</v>
      </c>
      <c r="E20" t="str">
        <v>2025-01-19</v>
      </c>
      <c r="F20">
        <v>2025</v>
      </c>
      <c r="G20">
        <v>22000</v>
      </c>
      <c r="H20">
        <v>660</v>
      </c>
      <c r="I20" t="str">
        <v>M. Senthil</v>
      </c>
      <c r="J20" t="str">
        <v>Verified</v>
      </c>
      <c r="K20" t="str">
        <v>Delta handloom weaver, 2025 registration</v>
      </c>
    </row>
    <row r="21">
      <c r="A21" t="str">
        <v>CLI-1017</v>
      </c>
      <c r="B21" t="str">
        <v>Vijayakumar D</v>
      </c>
      <c r="C21" t="str">
        <v>Coimbatore (Peelamedu)</v>
      </c>
      <c r="D21" t="str">
        <v>9894001122</v>
      </c>
      <c r="E21" t="str">
        <v>2018-05-10</v>
      </c>
      <c r="F21">
        <v>2018</v>
      </c>
      <c r="G21">
        <v>85000</v>
      </c>
      <c r="H21">
        <v>2550</v>
      </c>
      <c r="I21" t="str">
        <v>D. Dhanapal</v>
      </c>
      <c r="J21" t="str">
        <v>Verified</v>
      </c>
      <c r="K21" t="str">
        <v>Senior joined borrower (2018 cohort)</v>
      </c>
    </row>
    <row r="22">
      <c r="A22" t="str">
        <v>CLI-1018</v>
      </c>
      <c r="B22" t="str">
        <v>Yasmin Banu A</v>
      </c>
      <c r="C22" t="str">
        <v>Vellore (Katpadi)</v>
      </c>
      <c r="D22" t="str">
        <v>9865009988</v>
      </c>
      <c r="E22" t="str">
        <v>2026-02-11</v>
      </c>
      <c r="F22">
        <v>2026</v>
      </c>
      <c r="G22">
        <v>12000</v>
      </c>
      <c r="H22">
        <v>360</v>
      </c>
      <c r="I22" t="str">
        <v>A. Abdul</v>
      </c>
      <c r="J22" t="str">
        <v>Verified</v>
      </c>
      <c r="K22" t="str">
        <v>Early 2026 onboarded customer</v>
      </c>
    </row>
    <row r="23">
      <c r="A23" t="str">
        <v>CLI-1019</v>
      </c>
      <c r="B23" t="str">
        <v>Suresh Kumar E</v>
      </c>
      <c r="C23" t="str">
        <v>Sivakasi (Car Street)</v>
      </c>
      <c r="D23" t="str">
        <v>9790334455</v>
      </c>
      <c r="E23" t="str">
        <v>2021-03-28</v>
      </c>
      <c r="F23">
        <v>2021</v>
      </c>
      <c r="G23">
        <v>65000</v>
      </c>
      <c r="H23">
        <v>1950</v>
      </c>
      <c r="I23" t="str">
        <v>E. Elango</v>
      </c>
      <c r="J23" t="str">
        <v>Verified</v>
      </c>
      <c r="K23" t="str">
        <v>Commercial fireworks &amp; printing firm</v>
      </c>
    </row>
    <row r="24">
      <c r="A24" t="str">
        <v>CLI-1020</v>
      </c>
      <c r="B24" t="str">
        <v>Bhuvaneswari L</v>
      </c>
      <c r="C24" t="str">
        <v>Theni (Periyakulam Road)</v>
      </c>
      <c r="D24" t="str">
        <v/>
      </c>
      <c r="E24" t="str">
        <v>2024-06-15</v>
      </c>
      <c r="F24">
        <v>2024</v>
      </c>
      <c r="G24">
        <v>28000</v>
      </c>
      <c r="H24">
        <v>840</v>
      </c>
      <c r="I24" t="str">
        <v>L. Lakshmanan</v>
      </c>
      <c r="J24" t="str">
        <v>Pending</v>
      </c>
      <c r="K24" t="str">
        <v>MISSING PHONE (Cardamom hill region)</v>
      </c>
    </row>
    <row r="25">
      <c r="A25" t="str">
        <v>CLI-1021</v>
      </c>
      <c r="B25" t="str">
        <v>Syed Ibrahim H</v>
      </c>
      <c r="C25" t="str">
        <v>Nagapattinam (Beach Road)</v>
      </c>
      <c r="D25" t="str">
        <v>9487445566</v>
      </c>
      <c r="E25" t="str">
        <v>2020-10-09</v>
      </c>
      <c r="F25">
        <v>2020</v>
      </c>
      <c r="G25">
        <v>150000</v>
      </c>
      <c r="H25">
        <v>4500</v>
      </c>
      <c r="I25" t="str">
        <v>H. Hameed</v>
      </c>
      <c r="J25" t="str">
        <v>Verified</v>
      </c>
      <c r="K25" t="str">
        <v>High value fishing vessel enterprise</v>
      </c>
    </row>
    <row r="26">
      <c r="A26" t="str">
        <v>CLI-1022</v>
      </c>
      <c r="B26" t="str">
        <v>Charles Antony W</v>
      </c>
      <c r="C26" t="str">
        <v>Kanyakumari (Nagercoil)</v>
      </c>
      <c r="D26" t="str">
        <v>9842887766</v>
      </c>
      <c r="E26" t="str">
        <v>2022-08-31</v>
      </c>
      <c r="F26">
        <v>2022</v>
      </c>
      <c r="G26">
        <v>32000</v>
      </c>
      <c r="H26">
        <v>960</v>
      </c>
      <c r="I26" t="str">
        <v>W. William</v>
      </c>
      <c r="J26" t="str">
        <v>Verified</v>
      </c>
      <c r="K26" t="str">
        <v>Deep south retail spices shop</v>
      </c>
    </row>
    <row r="27">
      <c r="A27" t="str">
        <v>CLI-1023</v>
      </c>
      <c r="B27" t="str">
        <v>Gandhimathi O</v>
      </c>
      <c r="C27" t="str">
        <v>Pudukkottai (Town Hall)</v>
      </c>
      <c r="D27" t="str">
        <v>9788665544</v>
      </c>
      <c r="E27" t="str">
        <v>2019-12-14</v>
      </c>
      <c r="F27">
        <v>2019</v>
      </c>
      <c r="G27">
        <v>14000</v>
      </c>
      <c r="H27">
        <v>420</v>
      </c>
      <c r="I27" t="str">
        <v/>
      </c>
      <c r="J27" t="str">
        <v>Verified</v>
      </c>
      <c r="K27" t="str">
        <v>Local dairy unit, missing guarantor</v>
      </c>
    </row>
    <row r="28">
      <c r="A28" t="str">
        <v>CLI-1024</v>
      </c>
      <c r="B28" t="str">
        <v>Mohamed Rizwan Z</v>
      </c>
      <c r="C28" t="str">
        <v>Cuddalore (Port Road)</v>
      </c>
      <c r="D28" t="str">
        <v>9943221100</v>
      </c>
      <c r="E28" t="str">
        <v>2026-08-01</v>
      </c>
      <c r="F28">
        <v>2026</v>
      </c>
      <c r="G28">
        <v>95000</v>
      </c>
      <c r="H28">
        <v>2850</v>
      </c>
      <c r="I28" t="str">
        <v>Z. Zakir Hussain</v>
      </c>
      <c r="J28" t="str">
        <v>Verified</v>
      </c>
      <c r="K28" t="str">
        <v>Latest 2026 late joiner, high loan</v>
      </c>
    </row>
    <row r="30">
      <c r="A30" t="str">
        <v>TOTAL / SUMMARY</v>
      </c>
      <c r="B30" t="str">
        <v>24 Records Loaded</v>
      </c>
      <c r="C30" t="str">
        <v/>
      </c>
      <c r="D30" t="str">
        <v/>
      </c>
      <c r="E30" t="str">
        <v/>
      </c>
      <c r="F30" t="str">
        <v>Total Sanctioned:</v>
      </c>
      <c r="G30">
        <f>SUM(G5:G28)</f>
        <v>1254500</v>
      </c>
      <c r="H30">
        <f>SUM(H5:H28)</f>
        <v>37980</v>
      </c>
      <c r="I30" t="str">
        <v/>
      </c>
      <c r="J30" t="str">
        <v/>
      </c>
      <c r="K30" t="str">
        <v>Formula Summary Row for Automated Audit Verification</v>
      </c>
    </row>
  </sheetData>
  <mergeCells count="2">
    <mergeCell ref="A1:K1"/>
    <mergeCell ref="A2:K2"/>
  </mergeCells>
  <ignoredErrors>
    <ignoredError numberStoredAsText="1" sqref="A1:K30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L30"/>
  <sheetViews>
    <sheetView workbookViewId="0"/>
  </sheetViews>
  <cols>
    <col min="1" max="1" width="8.83203125" customWidth="1"/>
    <col min="2" max="2" width="18.83203125" customWidth="1"/>
    <col min="3" max="3" width="38.83203125" customWidth="1"/>
    <col min="4" max="4" width="18.83203125" customWidth="1"/>
    <col min="5" max="5" width="18.83203125" customWidth="1"/>
    <col min="6" max="6" width="18.83203125" customWidth="1"/>
    <col min="7" max="7" width="18.83203125" customWidth="1"/>
    <col min="8" max="8" width="14.83203125" customWidth="1"/>
    <col min="9" max="9" width="22.83203125" customWidth="1"/>
    <col min="10" max="10" width="22.83203125" customWidth="1"/>
    <col min="11" max="11" width="55.83203125" customWidth="1"/>
    <col min="12" max="12" width="25.83203125" customWidth="1"/>
  </cols>
  <sheetData>
    <row r="1">
      <c r="A1" t="str">
        <v>FIELD OPERATIONS &amp; CUSTOMER CREDIT LOG (SET 2: OPERATIONAL STRUCTURE)</v>
      </c>
    </row>
    <row r="2">
      <c r="A2" t="str">
        <v>Alternate Schema &amp; Column Ordering | Mixed Phone Prefixes (+91) | DD/MM/YYYY Dates | Balance Tracking | System Validation Matrix</v>
      </c>
    </row>
    <row r="4">
      <c r="A4" t="str">
        <v>Sl_No</v>
      </c>
      <c r="B4" t="str">
        <v>Account_Ref</v>
      </c>
      <c r="C4" t="str">
        <v>Borrower_Full_Name</v>
      </c>
      <c r="D4" t="str">
        <v>Primary_Contact</v>
      </c>
      <c r="E4" t="str">
        <v>Secondary_Contact</v>
      </c>
      <c r="F4" t="str">
        <v>District_Region</v>
      </c>
      <c r="G4" t="str">
        <v>Registration_Date</v>
      </c>
      <c r="H4" t="str">
        <v>Tenure_Year</v>
      </c>
      <c r="I4" t="str">
        <v>Sanctioned_Limit_INR</v>
      </c>
      <c r="J4" t="str">
        <v>Current_Balance_INR</v>
      </c>
      <c r="K4" t="str">
        <v>Address_Landmark</v>
      </c>
      <c r="L4" t="str">
        <v>Audit_Classification</v>
      </c>
    </row>
    <row r="5">
      <c r="A5">
        <v>1</v>
      </c>
      <c r="B5" t="str">
        <v>ACC-TN-2019-01</v>
      </c>
      <c r="C5" t="str">
        <v>Mr. Muthukumar M (s/o Murugesan)</v>
      </c>
      <c r="D5" t="str">
        <v>+91 98421 56789</v>
      </c>
      <c r="E5" t="str">
        <v>9842100001</v>
      </c>
      <c r="F5" t="str">
        <v>Madurai</v>
      </c>
      <c r="G5" t="str">
        <v>12/04/2019</v>
      </c>
      <c r="H5">
        <v>2019</v>
      </c>
      <c r="I5">
        <v>25000</v>
      </c>
      <c r="J5">
        <v>6250</v>
      </c>
      <c r="K5" t="str">
        <v>12, West Masi Street, Simmakkal, Madurai - 625001</v>
      </c>
      <c r="L5" t="str">
        <v>VALID_COMPLETE</v>
      </c>
    </row>
    <row r="6">
      <c r="A6">
        <v>2</v>
      </c>
      <c r="B6" t="str">
        <v>ACC-TN-2021-02</v>
      </c>
      <c r="C6" t="str">
        <v>Mrs. Priya Dharshini S (w/o Saravanan)</v>
      </c>
      <c r="D6" t="str">
        <v>+91 94432 18765</v>
      </c>
      <c r="E6" t="str">
        <v>N/A</v>
      </c>
      <c r="F6" t="str">
        <v>Coimbatore</v>
      </c>
      <c r="G6" t="str">
        <v>20/08/2021</v>
      </c>
      <c r="H6">
        <v>2021</v>
      </c>
      <c r="I6">
        <v>50000</v>
      </c>
      <c r="J6">
        <v>18500</v>
      </c>
      <c r="K6" t="str">
        <v>45, Cross Cut Road, Gandhipuram, Coimbatore - 641012</v>
      </c>
      <c r="L6" t="str">
        <v>VALID_COMPLETE</v>
      </c>
    </row>
    <row r="7">
      <c r="A7">
        <v>3</v>
      </c>
      <c r="B7" t="str">
        <v>ACC-TN-2020-03</v>
      </c>
      <c r="C7" t="str">
        <v>Mr. Mohammed Farook A (s/o Abdul)</v>
      </c>
      <c r="D7" t="str">
        <v/>
      </c>
      <c r="E7" t="str">
        <v>N/A</v>
      </c>
      <c r="F7" t="str">
        <v>Tiruppur</v>
      </c>
      <c r="G7" t="str">
        <v>15/02/2020</v>
      </c>
      <c r="H7">
        <v>2020</v>
      </c>
      <c r="I7">
        <v>75000</v>
      </c>
      <c r="J7">
        <v>24000</v>
      </c>
      <c r="K7" t="str">
        <v>88, College Road, Avinashi Road, Tiruppur - 641602</v>
      </c>
      <c r="L7" t="str">
        <v>FLAG_MISSING_PHONE</v>
      </c>
    </row>
    <row r="8">
      <c r="A8">
        <v>4</v>
      </c>
      <c r="B8" t="str">
        <v>ACC-TN-2018-04</v>
      </c>
      <c r="C8" t="str">
        <v>Mr. Arumugam V (s/o Velusamy)</v>
      </c>
      <c r="D8" t="str">
        <v>+91 97891 23456</v>
      </c>
      <c r="E8" t="str">
        <v>9789000004</v>
      </c>
      <c r="F8" t="str">
        <v>Salem</v>
      </c>
      <c r="G8" t="str">
        <v>05/11/2018</v>
      </c>
      <c r="H8">
        <v>2018</v>
      </c>
      <c r="I8">
        <v>10000</v>
      </c>
      <c r="J8">
        <v>1200</v>
      </c>
      <c r="K8" t="str">
        <v>23/A, Cherry Road, Five Roads, Salem - 636004</v>
      </c>
      <c r="L8" t="str">
        <v>FLAG_MISSING_GUARANTOR</v>
      </c>
    </row>
    <row r="9">
      <c r="A9">
        <v>5</v>
      </c>
      <c r="B9" t="str">
        <v>ACC-TN-2023-05</v>
      </c>
      <c r="C9" t="str">
        <v>Mrs. Deepa Lakshmi K (w/o Karthik)</v>
      </c>
      <c r="D9" t="str">
        <v>+91 98945 61230</v>
      </c>
      <c r="E9" t="str">
        <v>N/A</v>
      </c>
      <c r="F9" t="str">
        <v/>
      </c>
      <c r="G9" t="str">
        <v>18/06/2023</v>
      </c>
      <c r="H9">
        <v>2023</v>
      </c>
      <c r="I9">
        <v>30000</v>
      </c>
      <c r="J9">
        <v>14200</v>
      </c>
      <c r="K9" t="str">
        <v/>
      </c>
      <c r="L9" t="str">
        <v>FLAG_MISSING_LOCATION</v>
      </c>
    </row>
    <row r="10">
      <c r="A10">
        <v>6</v>
      </c>
      <c r="B10" t="str">
        <v>ACC-TN-2022-06</v>
      </c>
      <c r="C10" t="str">
        <v>Mr. Balasubramanian R (s/o Ramasamy)</v>
      </c>
      <c r="D10" t="str">
        <v>+91 98651 23987</v>
      </c>
      <c r="E10" t="str">
        <v>9865000006</v>
      </c>
      <c r="F10" t="str">
        <v>Erode</v>
      </c>
      <c r="G10" t="str">
        <v>10/01/2022</v>
      </c>
      <c r="H10">
        <v>2022</v>
      </c>
      <c r="I10">
        <v>120000</v>
      </c>
      <c r="J10">
        <v>42000</v>
      </c>
      <c r="K10" t="str">
        <v>71, Meenachisundaram St, Brough Rd, Erode - 638001</v>
      </c>
      <c r="L10" t="str">
        <v>VALID_COMPLETE</v>
      </c>
    </row>
    <row r="11">
      <c r="A11">
        <v>7</v>
      </c>
      <c r="B11" t="str">
        <v>ACC-TN-2024-07</v>
      </c>
      <c r="C11" t="str">
        <v>Mrs. Shanthi T (w/o Thangaraj)</v>
      </c>
      <c r="D11" t="str">
        <v/>
      </c>
      <c r="E11" t="str">
        <v>N/A</v>
      </c>
      <c r="F11" t="str">
        <v>Dindigul</v>
      </c>
      <c r="G11" t="str">
        <v>25/03/2024</v>
      </c>
      <c r="H11">
        <v>2024</v>
      </c>
      <c r="I11">
        <v>15000</v>
      </c>
      <c r="J11">
        <v>9000</v>
      </c>
      <c r="K11" t="str">
        <v>9, Mengles Road, Palani Road, Dindigul - 624001</v>
      </c>
      <c r="L11" t="str">
        <v>FLAG_DUAL_MISSING</v>
      </c>
    </row>
    <row r="12">
      <c r="A12">
        <v>8</v>
      </c>
      <c r="B12" t="str">
        <v>ACC-TN-2025-08</v>
      </c>
      <c r="C12" t="str">
        <v>Mr. Venkatesh G (s/o Govindasamy)</v>
      </c>
      <c r="D12" t="str">
        <v>+91 99445 56677</v>
      </c>
      <c r="E12" t="str">
        <v>N/A</v>
      </c>
      <c r="F12" t="str">
        <v>Tiruchirappalli</v>
      </c>
      <c r="G12" t="str">
        <v>14/05/2025</v>
      </c>
      <c r="H12">
        <v>2025</v>
      </c>
      <c r="I12">
        <v>8500</v>
      </c>
      <c r="J12">
        <v>3100</v>
      </c>
      <c r="K12" t="str">
        <v>11th Cross, Main Road, Thillai Nagar, Trichy - 620018</v>
      </c>
      <c r="L12" t="str">
        <v>VALID_COMPLETE</v>
      </c>
    </row>
    <row r="13">
      <c r="A13">
        <v>9</v>
      </c>
      <c r="B13" t="str">
        <v>ACC-TN-2021-09</v>
      </c>
      <c r="C13" t="str">
        <v>Mrs. Kavitha N (w/o Natarajan)</v>
      </c>
      <c r="D13" t="str">
        <v>+91 94881 12233</v>
      </c>
      <c r="E13" t="str">
        <v>9488000009</v>
      </c>
      <c r="F13" t="str">
        <v>Pollachi</v>
      </c>
      <c r="G13" t="str">
        <v>01/12/2021</v>
      </c>
      <c r="H13">
        <v>2021</v>
      </c>
      <c r="I13">
        <v>45000</v>
      </c>
      <c r="J13">
        <v>11500</v>
      </c>
      <c r="K13" t="str">
        <v>34, New Scheme Road, Pollachi - 642002</v>
      </c>
      <c r="L13" t="str">
        <v>VALID_COMPLETE</v>
      </c>
    </row>
    <row r="14">
      <c r="A14">
        <v>10</v>
      </c>
      <c r="B14" t="str">
        <v>ACC-TN-2019-10</v>
      </c>
      <c r="C14" t="str">
        <v>Mr. Selvam P (s/o Perumal)</v>
      </c>
      <c r="D14" t="str">
        <v>+91 98433 34455</v>
      </c>
      <c r="E14" t="str">
        <v>N/A</v>
      </c>
      <c r="F14" t="str">
        <v>Karur</v>
      </c>
      <c r="G14" t="str">
        <v>08/09/2019</v>
      </c>
      <c r="H14">
        <v>2019</v>
      </c>
      <c r="I14">
        <v>20000</v>
      </c>
      <c r="J14">
        <v>4800</v>
      </c>
      <c r="K14" t="str">
        <v>5, Kovai Road, Opp Old Bus Stand, Karur - 639001</v>
      </c>
      <c r="L14" t="str">
        <v>VALID_COMPLETE</v>
      </c>
    </row>
    <row r="15">
      <c r="A15">
        <v>11</v>
      </c>
      <c r="B15" t="str">
        <v>ACC-TN-2023-11</v>
      </c>
      <c r="C15" t="str">
        <v>Ms. Anitha C (d/o Chandran)</v>
      </c>
      <c r="D15" t="str">
        <v/>
      </c>
      <c r="E15" t="str">
        <v>N/A</v>
      </c>
      <c r="F15" t="str">
        <v>Chennai</v>
      </c>
      <c r="G15" t="str">
        <v>22/11/2023</v>
      </c>
      <c r="H15">
        <v>2023</v>
      </c>
      <c r="I15">
        <v>200000</v>
      </c>
      <c r="J15">
        <v>85000</v>
      </c>
      <c r="K15" t="str">
        <v>102, Usman Road, T. Nagar, Chennai - 600017</v>
      </c>
      <c r="L15" t="str">
        <v>FLAG_MISSING_PHONE</v>
      </c>
    </row>
    <row r="16">
      <c r="A16">
        <v>12</v>
      </c>
      <c r="B16" t="str">
        <v>ACC-TN-2020-12</v>
      </c>
      <c r="C16" t="str">
        <v>Mr. Franklin David J (s/o Joseph)</v>
      </c>
      <c r="D16" t="str">
        <v>+91 97512 23344</v>
      </c>
      <c r="E16" t="str">
        <v>9751000012</v>
      </c>
      <c r="F16" t="str">
        <v>Tirunelveli</v>
      </c>
      <c r="G16" t="str">
        <v>30/07/2020</v>
      </c>
      <c r="H16">
        <v>2020</v>
      </c>
      <c r="I16">
        <v>35000</v>
      </c>
      <c r="J16">
        <v>10200</v>
      </c>
      <c r="K16" t="str">
        <v>17, High Ground, Palayamkottai, Tirunelveli - 627002</v>
      </c>
      <c r="L16" t="str">
        <v>VALID_COMPLETE</v>
      </c>
    </row>
    <row r="17">
      <c r="A17">
        <v>13</v>
      </c>
      <c r="B17" t="str">
        <v>ACC-TN-2024-13</v>
      </c>
      <c r="C17" t="str">
        <v>Mr. Thangavel B (s/o Boopathi)</v>
      </c>
      <c r="D17" t="str">
        <v>+91 98427 78899</v>
      </c>
      <c r="E17" t="str">
        <v>N/A</v>
      </c>
      <c r="F17" t="str">
        <v>Namakkal</v>
      </c>
      <c r="G17" t="str">
        <v>02/09/2024</v>
      </c>
      <c r="H17">
        <v>2024</v>
      </c>
      <c r="I17">
        <v>60000</v>
      </c>
      <c r="J17">
        <v>36000</v>
      </c>
      <c r="K17" t="str">
        <v>56, Paramathi Velur Road, Namakkal - 637001</v>
      </c>
      <c r="L17" t="str">
        <v>FLAG_MISSING_GUARANTOR</v>
      </c>
    </row>
    <row r="18">
      <c r="A18">
        <v>14</v>
      </c>
      <c r="B18" t="str">
        <v>ACC-TN-2022-14</v>
      </c>
      <c r="C18" t="str">
        <v>Mr. Meenakshi Sundaram S (s/o Sundaram)</v>
      </c>
      <c r="D18" t="str">
        <v>+91 99941 12233</v>
      </c>
      <c r="E18" t="str">
        <v>9994000014</v>
      </c>
      <c r="F18" t="str">
        <v>Madurai</v>
      </c>
      <c r="G18" t="str">
        <v>17/04/2022</v>
      </c>
      <c r="H18">
        <v>2022</v>
      </c>
      <c r="I18">
        <v>18000</v>
      </c>
      <c r="J18">
        <v>5100</v>
      </c>
      <c r="K18" t="str">
        <v>3, Alagar Kovil Road, Goripalayam, Madurai - 625002</v>
      </c>
      <c r="L18" t="str">
        <v>VALID_COMPLETE</v>
      </c>
    </row>
    <row r="19">
      <c r="A19">
        <v>15</v>
      </c>
      <c r="B19" t="str">
        <v>ACC-TN-2023-15</v>
      </c>
      <c r="C19" t="str">
        <v>Mr. Rajesh Kannan K (s/o Krishnan)</v>
      </c>
      <c r="D19" t="str">
        <v/>
      </c>
      <c r="E19" t="str">
        <v>N/A</v>
      </c>
      <c r="F19" t="str">
        <v/>
      </c>
      <c r="G19" t="str">
        <v>05/01/2023</v>
      </c>
      <c r="H19">
        <v>2023</v>
      </c>
      <c r="I19">
        <v>40000</v>
      </c>
      <c r="J19">
        <v>22000</v>
      </c>
      <c r="K19" t="str">
        <v/>
      </c>
      <c r="L19" t="str">
        <v>FLAG_TRIPLE_MISSING</v>
      </c>
    </row>
    <row r="20">
      <c r="A20">
        <v>16</v>
      </c>
      <c r="B20" t="str">
        <v>ACC-TN-2025-16</v>
      </c>
      <c r="C20" t="str">
        <v>Mrs. Revathi M (w/o Manikandan)</v>
      </c>
      <c r="D20" t="str">
        <v>+91 94426 67788</v>
      </c>
      <c r="E20" t="str">
        <v>N/A</v>
      </c>
      <c r="F20" t="str">
        <v>Thanjavur</v>
      </c>
      <c r="G20" t="str">
        <v>19/01/2025</v>
      </c>
      <c r="H20">
        <v>2025</v>
      </c>
      <c r="I20">
        <v>22000</v>
      </c>
      <c r="J20">
        <v>13800</v>
      </c>
      <c r="K20" t="str">
        <v>28, Gandhiji Road, Near Big Temple, Thanjavur - 613001</v>
      </c>
      <c r="L20" t="str">
        <v>VALID_COMPLETE</v>
      </c>
    </row>
    <row r="21">
      <c r="A21">
        <v>17</v>
      </c>
      <c r="B21" t="str">
        <v>ACC-TN-2018-17</v>
      </c>
      <c r="C21" t="str">
        <v>Mr. Vijayakumar D (s/o Dhanapal)</v>
      </c>
      <c r="D21" t="str">
        <v>+91 98940 01122</v>
      </c>
      <c r="E21" t="str">
        <v>9894000017</v>
      </c>
      <c r="F21" t="str">
        <v>Coimbatore</v>
      </c>
      <c r="G21" t="str">
        <v>10/05/2018</v>
      </c>
      <c r="H21">
        <v>2018</v>
      </c>
      <c r="I21">
        <v>85000</v>
      </c>
      <c r="J21">
        <v>12500</v>
      </c>
      <c r="K21" t="str">
        <v>92, Avinashi Road, Peelamedu, Coimbatore - 641004</v>
      </c>
      <c r="L21" t="str">
        <v>VALID_COMPLETE</v>
      </c>
    </row>
    <row r="22">
      <c r="A22">
        <v>18</v>
      </c>
      <c r="B22" t="str">
        <v>ACC-TN-2026-18</v>
      </c>
      <c r="C22" t="str">
        <v>Mrs. Yasmin Banu A (w/o Anwar)</v>
      </c>
      <c r="D22" t="str">
        <v>+91 98650 09988</v>
      </c>
      <c r="E22" t="str">
        <v>N/A</v>
      </c>
      <c r="F22" t="str">
        <v>Vellore</v>
      </c>
      <c r="G22" t="str">
        <v>11/02/2026</v>
      </c>
      <c r="H22">
        <v>2026</v>
      </c>
      <c r="I22">
        <v>12000</v>
      </c>
      <c r="J22">
        <v>11200</v>
      </c>
      <c r="K22" t="str">
        <v>14, Chittor Road, Katpadi, Vellore - 632007</v>
      </c>
      <c r="L22" t="str">
        <v>VALID_COMPLETE</v>
      </c>
    </row>
    <row r="23">
      <c r="A23">
        <v>19</v>
      </c>
      <c r="B23" t="str">
        <v>ACC-TN-2021-19</v>
      </c>
      <c r="C23" t="str">
        <v>Mr. Suresh Kumar E (s/o Elangovan)</v>
      </c>
      <c r="D23" t="str">
        <v>+91 97903 34455</v>
      </c>
      <c r="E23" t="str">
        <v>9790000019</v>
      </c>
      <c r="F23" t="str">
        <v>Virudhunagar</v>
      </c>
      <c r="G23" t="str">
        <v>28/03/2021</v>
      </c>
      <c r="H23">
        <v>2021</v>
      </c>
      <c r="I23">
        <v>65000</v>
      </c>
      <c r="J23">
        <v>21000</v>
      </c>
      <c r="K23" t="str">
        <v>64, South Car Street, Sivakasi - 626123</v>
      </c>
      <c r="L23" t="str">
        <v>VALID_COMPLETE</v>
      </c>
    </row>
    <row r="24">
      <c r="A24">
        <v>20</v>
      </c>
      <c r="B24" t="str">
        <v>ACC-TN-2024-20</v>
      </c>
      <c r="C24" t="str">
        <v>Mrs. Bhuvaneswari L (w/o Logan)</v>
      </c>
      <c r="D24" t="str">
        <v/>
      </c>
      <c r="E24" t="str">
        <v>N/A</v>
      </c>
      <c r="F24" t="str">
        <v>Theni</v>
      </c>
      <c r="G24" t="str">
        <v>15/06/2024</v>
      </c>
      <c r="H24">
        <v>2024</v>
      </c>
      <c r="I24">
        <v>28000</v>
      </c>
      <c r="J24">
        <v>17600</v>
      </c>
      <c r="K24" t="str">
        <v>81, Periyakulam Road, Theni - 625531</v>
      </c>
      <c r="L24" t="str">
        <v>FLAG_MISSING_PHONE</v>
      </c>
    </row>
    <row r="25">
      <c r="A25">
        <v>21</v>
      </c>
      <c r="B25" t="str">
        <v>ACC-TN-2020-21</v>
      </c>
      <c r="C25" t="str">
        <v>Mr. Syed Ibrahim H (s/o Hameed)</v>
      </c>
      <c r="D25" t="str">
        <v>+91 94874 45566</v>
      </c>
      <c r="E25" t="str">
        <v>9487000021</v>
      </c>
      <c r="F25" t="str">
        <v>Nagapattinam</v>
      </c>
      <c r="G25" t="str">
        <v>09/10/2020</v>
      </c>
      <c r="H25">
        <v>2020</v>
      </c>
      <c r="I25">
        <v>150000</v>
      </c>
      <c r="J25">
        <v>55000</v>
      </c>
      <c r="K25" t="str">
        <v>7, Beach Road, Nagapattinam - 611001</v>
      </c>
      <c r="L25" t="str">
        <v>VALID_COMPLETE</v>
      </c>
    </row>
    <row r="26">
      <c r="A26">
        <v>22</v>
      </c>
      <c r="B26" t="str">
        <v>ACC-TN-2022-22</v>
      </c>
      <c r="C26" t="str">
        <v>Mr. Charles Antony W (s/o William)</v>
      </c>
      <c r="D26" t="str">
        <v>+91 98428 87766</v>
      </c>
      <c r="E26" t="str">
        <v>N/A</v>
      </c>
      <c r="F26" t="str">
        <v>Kanyakumari</v>
      </c>
      <c r="G26" t="str">
        <v>31/08/2022</v>
      </c>
      <c r="H26">
        <v>2022</v>
      </c>
      <c r="I26">
        <v>32000</v>
      </c>
      <c r="J26">
        <v>14800</v>
      </c>
      <c r="K26" t="str">
        <v>39, Cape Road, Nagercoil - 629001</v>
      </c>
      <c r="L26" t="str">
        <v>VALID_COMPLETE</v>
      </c>
    </row>
    <row r="27">
      <c r="A27">
        <v>23</v>
      </c>
      <c r="B27" t="str">
        <v>ACC-TN-2019-23</v>
      </c>
      <c r="C27" t="str">
        <v>Mrs. Gandhimathi O (w/o Oyyappan)</v>
      </c>
      <c r="D27" t="str">
        <v>+91 97886 65544</v>
      </c>
      <c r="E27" t="str">
        <v>N/A</v>
      </c>
      <c r="F27" t="str">
        <v>Pudukkottai</v>
      </c>
      <c r="G27" t="str">
        <v>14/12/2019</v>
      </c>
      <c r="H27">
        <v>2019</v>
      </c>
      <c r="I27">
        <v>14000</v>
      </c>
      <c r="J27">
        <v>3200</v>
      </c>
      <c r="K27" t="str">
        <v>19, West Main Street, Town Hall, Pudukkottai - 622001</v>
      </c>
      <c r="L27" t="str">
        <v>FLAG_MISSING_GUARANTOR</v>
      </c>
    </row>
    <row r="28">
      <c r="A28">
        <v>24</v>
      </c>
      <c r="B28" t="str">
        <v>ACC-TN-2026-24</v>
      </c>
      <c r="C28" t="str">
        <v>Mr. Mohamed Rizwan Z (s/o Zakir)</v>
      </c>
      <c r="D28" t="str">
        <v>+91 99432 21100</v>
      </c>
      <c r="E28" t="str">
        <v>9943000024</v>
      </c>
      <c r="F28" t="str">
        <v>Cuddalore</v>
      </c>
      <c r="G28" t="str">
        <v>01/08/2026</v>
      </c>
      <c r="H28">
        <v>2026</v>
      </c>
      <c r="I28">
        <v>95000</v>
      </c>
      <c r="J28">
        <v>89000</v>
      </c>
      <c r="K28" t="str">
        <v>50, Subbaraya Chetty St, Port Rd, Cuddalore - 607003</v>
      </c>
      <c r="L28" t="str">
        <v>VALID_COMPLETE</v>
      </c>
    </row>
    <row r="30">
      <c r="A30" t="str">
        <v/>
      </c>
      <c r="B30" t="str">
        <v>AUDIT TOTALS</v>
      </c>
      <c r="C30" t="str">
        <v>Active Borrowers: 24</v>
      </c>
      <c r="D30" t="str">
        <v/>
      </c>
      <c r="E30" t="str">
        <v/>
      </c>
      <c r="F30" t="str">
        <v/>
      </c>
      <c r="G30" t="str">
        <v/>
      </c>
      <c r="H30" t="str">
        <v/>
      </c>
      <c r="I30">
        <f>SUM(I5:I28)</f>
        <v>1254500</v>
      </c>
      <c r="J30">
        <f>SUM(J5:J28)</f>
        <v>530950</v>
      </c>
      <c r="K30" t="str">
        <v/>
      </c>
      <c r="L30" t="str">
        <v>Audited Set 2</v>
      </c>
    </row>
  </sheetData>
  <mergeCells count="2">
    <mergeCell ref="A1:L1"/>
    <mergeCell ref="A2:L2"/>
  </mergeCells>
  <ignoredErrors>
    <ignoredError numberStoredAsText="1" sqref="A1:L3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Set_1_Corporate_Master</vt:lpstr>
      <vt:lpstr>Set_2_Field_Operations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