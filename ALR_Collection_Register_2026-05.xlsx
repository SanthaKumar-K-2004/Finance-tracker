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3"/>
  <sheetViews>
    <sheetView workbookViewId="0"/>
  </sheetViews>
  <cols>
    <col min="1" max="1" width="8.83203125" customWidth="1"/>
    <col min="2" max="2" width="14.83203125" customWidth="1"/>
    <col min="3" max="3" width="28.83203125" customWidth="1"/>
    <col min="4" max="4" width="16.83203125" customWidth="1"/>
    <col min="5" max="5" width="24.83203125" customWidth="1"/>
    <col min="6" max="6" width="14.83203125" customWidth="1"/>
    <col min="7" max="7" width="6.83203125" customWidth="1"/>
    <col min="8" max="8" width="6.83203125" customWidth="1"/>
    <col min="9" max="9" width="6.83203125" customWidth="1"/>
    <col min="10" max="10" width="6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6.83203125" customWidth="1"/>
    <col min="21" max="21" width="6.83203125" customWidth="1"/>
    <col min="22" max="22" width="6.83203125" customWidth="1"/>
    <col min="23" max="23" width="6.83203125" customWidth="1"/>
    <col min="24" max="24" width="6.83203125" customWidth="1"/>
    <col min="25" max="25" width="6.83203125" customWidth="1"/>
    <col min="26" max="26" width="6.83203125" customWidth="1"/>
    <col min="27" max="27" width="6.83203125" customWidth="1"/>
    <col min="28" max="28" width="6.83203125" customWidth="1"/>
    <col min="29" max="29" width="6.83203125" customWidth="1"/>
    <col min="30" max="30" width="6.83203125" customWidth="1"/>
    <col min="31" max="31" width="6.83203125" customWidth="1"/>
    <col min="32" max="32" width="6.83203125" customWidth="1"/>
    <col min="33" max="33" width="6.83203125" customWidth="1"/>
    <col min="34" max="34" width="6.83203125" customWidth="1"/>
    <col min="35" max="35" width="6.83203125" customWidth="1"/>
    <col min="36" max="36" width="6.83203125" customWidth="1"/>
    <col min="37" max="37" width="6.83203125" customWidth="1"/>
    <col min="38" max="38" width="12.83203125" customWidth="1"/>
    <col min="39" max="39" width="14.83203125" customWidth="1"/>
    <col min="40" max="40" width="12.83203125" customWidth="1"/>
    <col min="41" max="41" width="12.83203125" customWidth="1"/>
    <col min="42" max="42" width="14.83203125" customWidth="1"/>
  </cols>
  <sheetData>
    <row r="1">
      <c r="A1" t="str">
        <v xml:space="preserve">DAILY COLLECTION REGISTER ( ALR) </v>
      </c>
    </row>
    <row r="2">
      <c r="A2" t="str">
        <v>MONTH / YEAR</v>
      </c>
      <c r="B2" t="str">
        <v/>
      </c>
      <c r="C2" t="str">
        <v>MAY - 2026</v>
      </c>
      <c r="D2" t="str">
        <v/>
      </c>
      <c r="E2" t="str">
        <v/>
      </c>
      <c r="F2" t="str">
        <v>PRINCIPAL: 1,05,000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</row>
    <row r="3" xml:space="preserve">
      <c r="A3" t="str">
        <v>Sl.No</v>
      </c>
      <c r="B3" t="str" xml:space="preserve">
        <v xml:space="preserve">Month /
Year</v>
      </c>
      <c r="C3" t="str">
        <v>Name</v>
      </c>
      <c r="D3" t="str" xml:space="preserve">
        <v xml:space="preserve">Phone
Number</v>
      </c>
      <c r="E3" t="str">
        <v>Address</v>
      </c>
      <c r="F3" t="str" xml:space="preserve">
        <v xml:space="preserve">Principal
Amount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  <c r="AF3">
        <v>26</v>
      </c>
      <c r="AG3">
        <v>27</v>
      </c>
      <c r="AH3">
        <v>28</v>
      </c>
      <c r="AI3">
        <v>29</v>
      </c>
      <c r="AJ3">
        <v>30</v>
      </c>
      <c r="AK3">
        <v>31</v>
      </c>
      <c r="AL3" t="str" xml:space="preserve">
        <v xml:space="preserve">Total
(31 Days)</v>
      </c>
      <c r="AM3" t="str" xml:space="preserve">
        <v xml:space="preserve">Remaining
(Principal-Total)</v>
      </c>
      <c r="AN3" t="str" xml:space="preserve">
        <v xml:space="preserve">Excess
(+Amount)</v>
      </c>
      <c r="AO3" t="str" xml:space="preserve">
        <v xml:space="preserve">Close
Date</v>
      </c>
      <c r="AP3" t="str" xml:space="preserve">
        <v xml:space="preserve">Remaining
(COPY -&gt; Paste
VALUES next month)</v>
      </c>
    </row>
    <row r="4">
      <c r="A4">
        <v>3032</v>
      </c>
      <c r="B4" t="str">
        <v>2026-05-01</v>
      </c>
      <c r="C4" t="str">
        <v>வெள்ளையம்மா w /o கரிகாலன்</v>
      </c>
      <c r="D4" t="str">
        <v>9585194934</v>
      </c>
      <c r="E4" t="str">
        <v>அலங்காநல்லூர்</v>
      </c>
      <c r="F4">
        <v>10000</v>
      </c>
      <c r="G4">
        <v>100</v>
      </c>
      <c r="H4">
        <v>100</v>
      </c>
      <c r="I4">
        <v>100</v>
      </c>
      <c r="J4">
        <v>100</v>
      </c>
      <c r="K4">
        <v>100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>
        <v>10</v>
      </c>
      <c r="Z4">
        <v>200</v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>
        <f>SUM(G4:AK4)</f>
        <v>710</v>
      </c>
      <c r="AM4">
        <f>IF(F4-AL4&lt;0,0,F4-AL4)</f>
        <v>9290</v>
      </c>
      <c r="AN4">
        <f>IF(AL4-F4&gt;0,AL4-F4,0)</f>
        <v>0</v>
      </c>
      <c r="AO4" t="str">
        <v/>
      </c>
      <c r="AP4">
        <f>AM4</f>
        <v>9290</v>
      </c>
    </row>
    <row r="5">
      <c r="A5">
        <v>3033</v>
      </c>
      <c r="B5" t="str">
        <v>2026-05-01</v>
      </c>
      <c r="C5" t="str">
        <v>தற்காலிக பயனாளி (Test Archival)</v>
      </c>
      <c r="D5" t="str">
        <v>9999988888</v>
      </c>
      <c r="E5" t="str">
        <v>சோழவந்தான்</v>
      </c>
      <c r="F5">
        <v>5000</v>
      </c>
      <c r="G5">
        <v>10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>
        <f>SUM(G5:AK5)</f>
        <v>10</v>
      </c>
      <c r="AM5">
        <f>IF(F5-AL5&lt;0,0,F5-AL5)</f>
        <v>4990</v>
      </c>
      <c r="AN5">
        <f>IF(AL5-F5&gt;0,AL5-F5,0)</f>
        <v>0</v>
      </c>
      <c r="AO5" t="str">
        <v/>
      </c>
      <c r="AP5">
        <f>AM5</f>
        <v>4990</v>
      </c>
    </row>
    <row r="6">
      <c r="A6">
        <v>3034</v>
      </c>
      <c r="B6" t="str">
        <v>2026-05-01</v>
      </c>
      <c r="C6" t="str">
        <v>தற்காலிக பயனாளி (Test Archival)</v>
      </c>
      <c r="D6" t="str">
        <v>9997980409</v>
      </c>
      <c r="E6" t="str">
        <v>சோழவந்தான்</v>
      </c>
      <c r="F6">
        <v>5000</v>
      </c>
      <c r="G6">
        <v>100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>
        <f>SUM(G6:AK6)</f>
        <v>100</v>
      </c>
      <c r="AM6">
        <f>IF(F6-AL6&lt;0,0,F6-AL6)</f>
        <v>4900</v>
      </c>
      <c r="AN6">
        <f>IF(AL6-F6&gt;0,AL6-F6,0)</f>
        <v>0</v>
      </c>
      <c r="AO6" t="str">
        <v/>
      </c>
      <c r="AP6">
        <f>AM6</f>
        <v>4900</v>
      </c>
    </row>
    <row r="7">
      <c r="A7">
        <v>3035</v>
      </c>
      <c r="B7" t="str">
        <v>2026-05-01</v>
      </c>
      <c r="C7" t="str">
        <v>தற்காலிக பயனாளி (Test Archival)</v>
      </c>
      <c r="D7" t="str">
        <v>9963745070</v>
      </c>
      <c r="E7" t="str">
        <v>சோழவந்தான்</v>
      </c>
      <c r="F7">
        <v>5000</v>
      </c>
      <c r="G7">
        <v>5000</v>
      </c>
      <c r="H7">
        <v>1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>
        <f>SUM(G7:AK7)</f>
        <v>5001</v>
      </c>
      <c r="AM7">
        <f>IF(F7-AL7&lt;0,0,F7-AL7)</f>
        <v>0</v>
      </c>
      <c r="AN7">
        <f>IF(AL7-F7&gt;0,AL7-F7,0)</f>
        <v>1</v>
      </c>
      <c r="AO7" t="str">
        <v>2026-09-09</v>
      </c>
      <c r="AP7">
        <f>AM7</f>
        <v>0</v>
      </c>
    </row>
    <row r="8">
      <c r="A8">
        <v>3036</v>
      </c>
      <c r="B8" t="str">
        <v>2026-05-01</v>
      </c>
      <c r="C8" t="str">
        <v>தற்காலிக பயனாளி (Test Archival)</v>
      </c>
      <c r="D8" t="str">
        <v>9975901643</v>
      </c>
      <c r="E8" t="str">
        <v>சோழவந்தான்</v>
      </c>
      <c r="F8">
        <v>5000</v>
      </c>
      <c r="G8">
        <v>5000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>
        <f>SUM(G8:AK8)</f>
        <v>5000</v>
      </c>
      <c r="AM8">
        <f>IF(F8-AL8&lt;0,0,F8-AL8)</f>
        <v>0</v>
      </c>
      <c r="AN8">
        <f>IF(AL8-F8&gt;0,AL8-F8,0)</f>
        <v>0</v>
      </c>
      <c r="AO8" t="str">
        <v>2026-09-09</v>
      </c>
      <c r="AP8">
        <f>AM8</f>
        <v>0</v>
      </c>
    </row>
    <row r="9">
      <c r="A9">
        <v>3037</v>
      </c>
      <c r="B9" t="str">
        <v>2026-05-01</v>
      </c>
      <c r="C9" t="str">
        <v>தற்காலிக பயனாளி (Test Archival)</v>
      </c>
      <c r="D9" t="str">
        <v>9965378432</v>
      </c>
      <c r="E9" t="str">
        <v>சோழவந்தான்</v>
      </c>
      <c r="F9">
        <v>5000</v>
      </c>
      <c r="G9">
        <v>5000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>
        <f>SUM(G9:AK9)</f>
        <v>5000</v>
      </c>
      <c r="AM9">
        <f>IF(F9-AL9&lt;0,0,F9-AL9)</f>
        <v>0</v>
      </c>
      <c r="AN9">
        <f>IF(AL9-F9&gt;0,AL9-F9,0)</f>
        <v>0</v>
      </c>
      <c r="AO9" t="str">
        <v>2026-09-09</v>
      </c>
      <c r="AP9">
        <f>AM9</f>
        <v>0</v>
      </c>
    </row>
    <row r="10">
      <c r="A10">
        <v>3038</v>
      </c>
      <c r="B10" t="str">
        <v>2026-05-01</v>
      </c>
      <c r="C10" t="str">
        <v>தற்காலிக பயனாளி (Test Archival)</v>
      </c>
      <c r="D10" t="str">
        <v>9936950588</v>
      </c>
      <c r="E10" t="str">
        <v>சோழவந்தான்</v>
      </c>
      <c r="F10">
        <v>5000</v>
      </c>
      <c r="G10">
        <v>5000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>
        <f>SUM(G10:AK10)</f>
        <v>5000</v>
      </c>
      <c r="AM10">
        <f>IF(F10-AL10&lt;0,0,F10-AL10)</f>
        <v>0</v>
      </c>
      <c r="AN10">
        <f>IF(AL10-F10&gt;0,AL10-F10,0)</f>
        <v>0</v>
      </c>
      <c r="AO10" t="str">
        <v>2026-09-09</v>
      </c>
      <c r="AP10">
        <f>AM10</f>
        <v>0</v>
      </c>
    </row>
    <row r="11">
      <c r="A11">
        <v>3039</v>
      </c>
      <c r="B11" t="str">
        <v>2026-05-01</v>
      </c>
      <c r="C11" t="str">
        <v>தற்காலிக பயனாளி (Test Archival)</v>
      </c>
      <c r="D11" t="str">
        <v>9922190887</v>
      </c>
      <c r="E11" t="str">
        <v>சோழவந்தான்</v>
      </c>
      <c r="F11">
        <v>5000</v>
      </c>
      <c r="G11">
        <v>5000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>
        <f>SUM(G11:AK11)</f>
        <v>5000</v>
      </c>
      <c r="AM11">
        <f>IF(F11-AL11&lt;0,0,F11-AL11)</f>
        <v>0</v>
      </c>
      <c r="AN11">
        <f>IF(AL11-F11&gt;0,AL11-F11,0)</f>
        <v>0</v>
      </c>
      <c r="AO11" t="str">
        <v>2026-09-09</v>
      </c>
      <c r="AP11">
        <f>AM11</f>
        <v>0</v>
      </c>
    </row>
    <row r="12">
      <c r="A12">
        <v>8632</v>
      </c>
      <c r="B12" t="str">
        <v>2026-05-01</v>
      </c>
      <c r="C12" t="str">
        <v>தற்காலிக பயனாளி (Test Archival)</v>
      </c>
      <c r="D12" t="str">
        <v>9996410485</v>
      </c>
      <c r="E12" t="str">
        <v>சோழவந்தான்</v>
      </c>
      <c r="F12">
        <v>5000</v>
      </c>
      <c r="G12">
        <v>5000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>
        <f>SUM(G12:AK12)</f>
        <v>5000</v>
      </c>
      <c r="AM12">
        <f>IF(F12-AL12&lt;0,0,F12-AL12)</f>
        <v>0</v>
      </c>
      <c r="AN12">
        <f>IF(AL12-F12&gt;0,AL12-F12,0)</f>
        <v>0</v>
      </c>
      <c r="AO12" t="str">
        <v>2026-09-09</v>
      </c>
      <c r="AP12">
        <f>AM12</f>
        <v>0</v>
      </c>
    </row>
    <row r="13">
      <c r="A13">
        <v>8636</v>
      </c>
      <c r="B13" t="str">
        <v>2026-05-01</v>
      </c>
      <c r="C13" t="str">
        <v>தற்காலிக பயனாளி (Test Archival)</v>
      </c>
      <c r="D13" t="str">
        <v>9923856833</v>
      </c>
      <c r="E13" t="str">
        <v>சோழவந்தான்</v>
      </c>
      <c r="F13">
        <v>5000</v>
      </c>
      <c r="G13">
        <v>5000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>
        <f>SUM(G13:AK13)</f>
        <v>5000</v>
      </c>
      <c r="AM13">
        <f>IF(F13-AL13&lt;0,0,F13-AL13)</f>
        <v>0</v>
      </c>
      <c r="AN13">
        <f>IF(AL13-F13&gt;0,AL13-F13,0)</f>
        <v>0</v>
      </c>
      <c r="AO13" t="str">
        <v>2026-09-09</v>
      </c>
      <c r="AP13">
        <f>AM13</f>
        <v>0</v>
      </c>
    </row>
    <row r="14">
      <c r="A14">
        <v>8639</v>
      </c>
      <c r="B14" t="str">
        <v>2026-05-01</v>
      </c>
      <c r="C14" t="str">
        <v>தற்காலிக பயனாளி (Test Archival)</v>
      </c>
      <c r="D14" t="str">
        <v>9947709943</v>
      </c>
      <c r="E14" t="str">
        <v>சோழவந்தான்</v>
      </c>
      <c r="F14">
        <v>5000</v>
      </c>
      <c r="G14">
        <v>5000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>
        <f>SUM(G14:AK14)</f>
        <v>5000</v>
      </c>
      <c r="AM14">
        <f>IF(F14-AL14&lt;0,0,F14-AL14)</f>
        <v>0</v>
      </c>
      <c r="AN14">
        <f>IF(AL14-F14&gt;0,AL14-F14,0)</f>
        <v>0</v>
      </c>
      <c r="AO14" t="str">
        <v>2026-09-09</v>
      </c>
      <c r="AP14">
        <f>AM14</f>
        <v>0</v>
      </c>
    </row>
    <row r="15">
      <c r="A15">
        <v>8641</v>
      </c>
      <c r="B15" t="str">
        <v>2026-05-01</v>
      </c>
      <c r="C15" t="str">
        <v>தற்காலிக பயனாளி (Test Archival)</v>
      </c>
      <c r="D15" t="str">
        <v>9915342767</v>
      </c>
      <c r="E15" t="str">
        <v>சோழவந்தான்</v>
      </c>
      <c r="F15">
        <v>5000</v>
      </c>
      <c r="G15">
        <v>5000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>
        <f>SUM(G15:AK15)</f>
        <v>5000</v>
      </c>
      <c r="AM15">
        <f>IF(F15-AL15&lt;0,0,F15-AL15)</f>
        <v>0</v>
      </c>
      <c r="AN15">
        <f>IF(AL15-F15&gt;0,AL15-F15,0)</f>
        <v>0</v>
      </c>
      <c r="AO15" t="str">
        <v>2026-09-09</v>
      </c>
      <c r="AP15">
        <f>AM15</f>
        <v>0</v>
      </c>
    </row>
    <row r="16">
      <c r="A16">
        <v>8642</v>
      </c>
      <c r="B16" t="str">
        <v>2026-05-01</v>
      </c>
      <c r="C16" t="str">
        <v>தற்காலிக பயனாளி (Test Archival)</v>
      </c>
      <c r="D16" t="str">
        <v>9959192004</v>
      </c>
      <c r="E16" t="str">
        <v>சோழவந்தான்</v>
      </c>
      <c r="F16">
        <v>5000</v>
      </c>
      <c r="G16">
        <v>5000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>
        <f>SUM(G16:AK16)</f>
        <v>5000</v>
      </c>
      <c r="AM16">
        <f>IF(F16-AL16&lt;0,0,F16-AL16)</f>
        <v>0</v>
      </c>
      <c r="AN16">
        <f>IF(AL16-F16&gt;0,AL16-F16,0)</f>
        <v>0</v>
      </c>
      <c r="AO16" t="str">
        <v>2026-09-09</v>
      </c>
      <c r="AP16">
        <f>AM16</f>
        <v>0</v>
      </c>
    </row>
    <row r="17">
      <c r="A17">
        <v>8644</v>
      </c>
      <c r="B17" t="str">
        <v>2026-05-01</v>
      </c>
      <c r="C17" t="str">
        <v>தற்காலிக பயனாளி (Test Archival)</v>
      </c>
      <c r="D17" t="str">
        <v>9946375201</v>
      </c>
      <c r="E17" t="str">
        <v>சோழவந்தான்</v>
      </c>
      <c r="F17">
        <v>5000</v>
      </c>
      <c r="G17">
        <v>5000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>
        <f>SUM(G17:AK17)</f>
        <v>5000</v>
      </c>
      <c r="AM17">
        <f>IF(F17-AL17&lt;0,0,F17-AL17)</f>
        <v>0</v>
      </c>
      <c r="AN17">
        <f>IF(AL17-F17&gt;0,AL17-F17,0)</f>
        <v>0</v>
      </c>
      <c r="AO17" t="str">
        <v>2026-09-09</v>
      </c>
      <c r="AP17">
        <f>AM17</f>
        <v>0</v>
      </c>
    </row>
    <row r="18">
      <c r="A18">
        <v>8646</v>
      </c>
      <c r="B18" t="str">
        <v>2026-05-01</v>
      </c>
      <c r="C18" t="str">
        <v>தற்காலிக பயனாளி (Test Archival)</v>
      </c>
      <c r="D18" t="str">
        <v>9983470257</v>
      </c>
      <c r="E18" t="str">
        <v>சோழவந்தான்</v>
      </c>
      <c r="F18">
        <v>5000</v>
      </c>
      <c r="G18">
        <v>5000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>
        <f>SUM(G18:AK18)</f>
        <v>5000</v>
      </c>
      <c r="AM18">
        <f>IF(F18-AL18&lt;0,0,F18-AL18)</f>
        <v>0</v>
      </c>
      <c r="AN18">
        <f>IF(AL18-F18&gt;0,AL18-F18,0)</f>
        <v>0</v>
      </c>
      <c r="AO18" t="str">
        <v>2026-09-09</v>
      </c>
      <c r="AP18">
        <f>AM18</f>
        <v>0</v>
      </c>
    </row>
    <row r="19">
      <c r="A19">
        <v>8648</v>
      </c>
      <c r="B19" t="str">
        <v>2026-05-01</v>
      </c>
      <c r="C19" t="str">
        <v>தற்காலிக பயனாளி (Test Archival)</v>
      </c>
      <c r="D19" t="str">
        <v>9944807033</v>
      </c>
      <c r="E19" t="str">
        <v>சோழவந்தான்</v>
      </c>
      <c r="F19">
        <v>5000</v>
      </c>
      <c r="G19">
        <v>5000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>
        <f>SUM(G19:AK19)</f>
        <v>5000</v>
      </c>
      <c r="AM19">
        <f>IF(F19-AL19&lt;0,0,F19-AL19)</f>
        <v>0</v>
      </c>
      <c r="AN19">
        <f>IF(AL19-F19&gt;0,AL19-F19,0)</f>
        <v>0</v>
      </c>
      <c r="AO19" t="str">
        <v>2026-09-09</v>
      </c>
      <c r="AP19">
        <f>AM19</f>
        <v>0</v>
      </c>
    </row>
    <row r="20">
      <c r="A20">
        <v>8650</v>
      </c>
      <c r="B20" t="str">
        <v>2026-05-01</v>
      </c>
      <c r="C20" t="str">
        <v>தற்காலிக பயனாளி (Test Archival)</v>
      </c>
      <c r="D20" t="str">
        <v>9947336861</v>
      </c>
      <c r="E20" t="str">
        <v>சோழவந்தான்</v>
      </c>
      <c r="F20">
        <v>5000</v>
      </c>
      <c r="G20">
        <v>5000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>
        <f>SUM(G20:AK20)</f>
        <v>5000</v>
      </c>
      <c r="AM20">
        <f>IF(F20-AL20&lt;0,0,F20-AL20)</f>
        <v>0</v>
      </c>
      <c r="AN20">
        <f>IF(AL20-F20&gt;0,AL20-F20,0)</f>
        <v>0</v>
      </c>
      <c r="AO20" t="str">
        <v>2026-09-09</v>
      </c>
      <c r="AP20">
        <f>AM20</f>
        <v>0</v>
      </c>
    </row>
    <row r="21">
      <c r="A21">
        <v>8652</v>
      </c>
      <c r="B21" t="str">
        <v>2026-05-01</v>
      </c>
      <c r="C21" t="str">
        <v>தற்காலிக பயனாளி (Test Archival)</v>
      </c>
      <c r="D21" t="str">
        <v>9956681918</v>
      </c>
      <c r="E21" t="str">
        <v>சோழவந்தான்</v>
      </c>
      <c r="F21">
        <v>5000</v>
      </c>
      <c r="G21">
        <v>5000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>
        <f>SUM(G21:AK21)</f>
        <v>5000</v>
      </c>
      <c r="AM21">
        <f>IF(F21-AL21&lt;0,0,F21-AL21)</f>
        <v>0</v>
      </c>
      <c r="AN21">
        <f>IF(AL21-F21&gt;0,AL21-F21,0)</f>
        <v>0</v>
      </c>
      <c r="AO21" t="str">
        <v>2026-09-09</v>
      </c>
      <c r="AP21">
        <f>AM21</f>
        <v>0</v>
      </c>
    </row>
    <row r="22">
      <c r="A22">
        <v>8654</v>
      </c>
      <c r="B22" t="str">
        <v>2026-05-01</v>
      </c>
      <c r="C22" t="str">
        <v>தற்காலிக பயனாளி (Test Archival)</v>
      </c>
      <c r="D22" t="str">
        <v>9947561618</v>
      </c>
      <c r="E22" t="str">
        <v>சோழவந்தான்</v>
      </c>
      <c r="F22">
        <v>5000</v>
      </c>
      <c r="G22">
        <v>5000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>
        <f>SUM(G22:AK22)</f>
        <v>5000</v>
      </c>
      <c r="AM22">
        <f>IF(F22-AL22&lt;0,0,F22-AL22)</f>
        <v>0</v>
      </c>
      <c r="AN22">
        <f>IF(AL22-F22&gt;0,AL22-F22,0)</f>
        <v>0</v>
      </c>
      <c r="AO22" t="str">
        <v>2026-09-09</v>
      </c>
      <c r="AP22">
        <f>AM22</f>
        <v>0</v>
      </c>
    </row>
    <row r="23">
      <c r="A23">
        <v>8657</v>
      </c>
      <c r="B23" t="str">
        <v>2026-05-01</v>
      </c>
      <c r="C23" t="str">
        <v>தற்காலிக பயனாளி (Test Archival)</v>
      </c>
      <c r="D23" t="str">
        <v>9914102172</v>
      </c>
      <c r="E23" t="str">
        <v>சோழவந்தான்</v>
      </c>
      <c r="F23">
        <v>5000</v>
      </c>
      <c r="G23">
        <v>5000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>
        <f>SUM(G23:AK23)</f>
        <v>5000</v>
      </c>
      <c r="AM23">
        <f>IF(F23-AL23&lt;0,0,F23-AL23)</f>
        <v>0</v>
      </c>
      <c r="AN23">
        <f>IF(AL23-F23&gt;0,AL23-F23,0)</f>
        <v>0</v>
      </c>
      <c r="AO23" t="str">
        <v>2026-09-09</v>
      </c>
      <c r="AP23">
        <f>AM23</f>
        <v>0</v>
      </c>
    </row>
  </sheetData>
  <mergeCells count="4">
    <mergeCell ref="A1:AP1"/>
    <mergeCell ref="A2:B2"/>
    <mergeCell ref="C2:E2"/>
    <mergeCell ref="F2:J2"/>
  </mergeCells>
  <ignoredErrors>
    <ignoredError numberStoredAsText="1" sqref="A1:A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