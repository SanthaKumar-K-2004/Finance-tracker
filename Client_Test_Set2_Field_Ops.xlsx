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_Operations_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cols>
    <col min="1" max="1" width="8.83203125" customWidth="1"/>
    <col min="2" max="2" width="18.83203125" customWidth="1"/>
    <col min="3" max="3" width="3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4.83203125" customWidth="1"/>
    <col min="9" max="9" width="22.83203125" customWidth="1"/>
    <col min="10" max="10" width="22.83203125" customWidth="1"/>
    <col min="11" max="11" width="55.83203125" customWidth="1"/>
    <col min="12" max="12" width="25.83203125" customWidth="1"/>
  </cols>
  <sheetData>
    <row r="1">
      <c r="A1" t="str">
        <v>FIELD OPERATIONS &amp; CUSTOMER CREDIT LOG (SET 2: OPERATIONAL STRUCTURE)</v>
      </c>
    </row>
    <row r="2">
      <c r="A2" t="str">
        <v>Alternate Schema &amp; Column Ordering | Mixed Phone Prefixes (+91) | DD/MM/YYYY Dates | Balance Tracking | System Validation Matrix</v>
      </c>
    </row>
    <row r="4">
      <c r="A4" t="str">
        <v>Sl_No</v>
      </c>
      <c r="B4" t="str">
        <v>Account_Ref</v>
      </c>
      <c r="C4" t="str">
        <v>Borrower_Full_Name</v>
      </c>
      <c r="D4" t="str">
        <v>Primary_Contact</v>
      </c>
      <c r="E4" t="str">
        <v>Secondary_Contact</v>
      </c>
      <c r="F4" t="str">
        <v>District_Region</v>
      </c>
      <c r="G4" t="str">
        <v>Registration_Date</v>
      </c>
      <c r="H4" t="str">
        <v>Tenure_Year</v>
      </c>
      <c r="I4" t="str">
        <v>Sanctioned_Limit_INR</v>
      </c>
      <c r="J4" t="str">
        <v>Current_Balance_INR</v>
      </c>
      <c r="K4" t="str">
        <v>Address_Landmark</v>
      </c>
      <c r="L4" t="str">
        <v>Audit_Classification</v>
      </c>
    </row>
    <row r="5">
      <c r="A5">
        <v>1</v>
      </c>
      <c r="B5" t="str">
        <v>ACC-TN-2019-01</v>
      </c>
      <c r="C5" t="str">
        <v>Mr. Muthukumar M (s/o Murugesan)</v>
      </c>
      <c r="D5" t="str">
        <v>+91 98421 56789</v>
      </c>
      <c r="E5" t="str">
        <v>9842100001</v>
      </c>
      <c r="F5" t="str">
        <v>Madurai</v>
      </c>
      <c r="G5" t="str">
        <v>12/04/2019</v>
      </c>
      <c r="H5">
        <v>2019</v>
      </c>
      <c r="I5">
        <v>25000</v>
      </c>
      <c r="J5">
        <v>6250</v>
      </c>
      <c r="K5" t="str">
        <v>12, West Masi Street, Simmakkal, Madurai - 625001</v>
      </c>
      <c r="L5" t="str">
        <v>VALID_COMPLETE</v>
      </c>
    </row>
    <row r="6">
      <c r="A6">
        <v>2</v>
      </c>
      <c r="B6" t="str">
        <v>ACC-TN-2021-02</v>
      </c>
      <c r="C6" t="str">
        <v>Mrs. Priya Dharshini S (w/o Saravanan)</v>
      </c>
      <c r="D6" t="str">
        <v>+91 94432 18765</v>
      </c>
      <c r="E6" t="str">
        <v>N/A</v>
      </c>
      <c r="F6" t="str">
        <v>Coimbatore</v>
      </c>
      <c r="G6" t="str">
        <v>20/08/2021</v>
      </c>
      <c r="H6">
        <v>2021</v>
      </c>
      <c r="I6">
        <v>50000</v>
      </c>
      <c r="J6">
        <v>18500</v>
      </c>
      <c r="K6" t="str">
        <v>45, Cross Cut Road, Gandhipuram, Coimbatore - 641012</v>
      </c>
      <c r="L6" t="str">
        <v>VALID_COMPLETE</v>
      </c>
    </row>
    <row r="7">
      <c r="A7">
        <v>3</v>
      </c>
      <c r="B7" t="str">
        <v>ACC-TN-2020-03</v>
      </c>
      <c r="C7" t="str">
        <v>Mr. Mohammed Farook A (s/o Abdul)</v>
      </c>
      <c r="D7" t="str">
        <v/>
      </c>
      <c r="E7" t="str">
        <v>N/A</v>
      </c>
      <c r="F7" t="str">
        <v>Tiruppur</v>
      </c>
      <c r="G7" t="str">
        <v>15/02/2020</v>
      </c>
      <c r="H7">
        <v>2020</v>
      </c>
      <c r="I7">
        <v>75000</v>
      </c>
      <c r="J7">
        <v>24000</v>
      </c>
      <c r="K7" t="str">
        <v>88, College Road, Avinashi Road, Tiruppur - 641602</v>
      </c>
      <c r="L7" t="str">
        <v>FLAG_MISSING_PHONE</v>
      </c>
    </row>
    <row r="8">
      <c r="A8">
        <v>4</v>
      </c>
      <c r="B8" t="str">
        <v>ACC-TN-2018-04</v>
      </c>
      <c r="C8" t="str">
        <v>Mr. Arumugam V (s/o Velusamy)</v>
      </c>
      <c r="D8" t="str">
        <v>+91 97891 23456</v>
      </c>
      <c r="E8" t="str">
        <v>9789000004</v>
      </c>
      <c r="F8" t="str">
        <v>Salem</v>
      </c>
      <c r="G8" t="str">
        <v>05/11/2018</v>
      </c>
      <c r="H8">
        <v>2018</v>
      </c>
      <c r="I8">
        <v>10000</v>
      </c>
      <c r="J8">
        <v>1200</v>
      </c>
      <c r="K8" t="str">
        <v>23/A, Cherry Road, Five Roads, Salem - 636004</v>
      </c>
      <c r="L8" t="str">
        <v>FLAG_MISSING_GUARANTOR</v>
      </c>
    </row>
    <row r="9">
      <c r="A9">
        <v>5</v>
      </c>
      <c r="B9" t="str">
        <v>ACC-TN-2023-05</v>
      </c>
      <c r="C9" t="str">
        <v>Mrs. Deepa Lakshmi K (w/o Karthik)</v>
      </c>
      <c r="D9" t="str">
        <v>+91 98945 61230</v>
      </c>
      <c r="E9" t="str">
        <v>N/A</v>
      </c>
      <c r="F9" t="str">
        <v/>
      </c>
      <c r="G9" t="str">
        <v>18/06/2023</v>
      </c>
      <c r="H9">
        <v>2023</v>
      </c>
      <c r="I9">
        <v>30000</v>
      </c>
      <c r="J9">
        <v>14200</v>
      </c>
      <c r="K9" t="str">
        <v/>
      </c>
      <c r="L9" t="str">
        <v>FLAG_MISSING_LOCATION</v>
      </c>
    </row>
    <row r="10">
      <c r="A10">
        <v>6</v>
      </c>
      <c r="B10" t="str">
        <v>ACC-TN-2022-06</v>
      </c>
      <c r="C10" t="str">
        <v>Mr. Balasubramanian R (s/o Ramasamy)</v>
      </c>
      <c r="D10" t="str">
        <v>+91 98651 23987</v>
      </c>
      <c r="E10" t="str">
        <v>9865000006</v>
      </c>
      <c r="F10" t="str">
        <v>Erode</v>
      </c>
      <c r="G10" t="str">
        <v>10/01/2022</v>
      </c>
      <c r="H10">
        <v>2022</v>
      </c>
      <c r="I10">
        <v>120000</v>
      </c>
      <c r="J10">
        <v>42000</v>
      </c>
      <c r="K10" t="str">
        <v>71, Meenachisundaram St, Brough Rd, Erode - 638001</v>
      </c>
      <c r="L10" t="str">
        <v>VALID_COMPLETE</v>
      </c>
    </row>
    <row r="11">
      <c r="A11">
        <v>7</v>
      </c>
      <c r="B11" t="str">
        <v>ACC-TN-2024-07</v>
      </c>
      <c r="C11" t="str">
        <v>Mrs. Shanthi T (w/o Thangaraj)</v>
      </c>
      <c r="D11" t="str">
        <v/>
      </c>
      <c r="E11" t="str">
        <v>N/A</v>
      </c>
      <c r="F11" t="str">
        <v>Dindigul</v>
      </c>
      <c r="G11" t="str">
        <v>25/03/2024</v>
      </c>
      <c r="H11">
        <v>2024</v>
      </c>
      <c r="I11">
        <v>15000</v>
      </c>
      <c r="J11">
        <v>9000</v>
      </c>
      <c r="K11" t="str">
        <v>9, Mengles Road, Palani Road, Dindigul - 624001</v>
      </c>
      <c r="L11" t="str">
        <v>FLAG_DUAL_MISSING</v>
      </c>
    </row>
    <row r="12">
      <c r="A12">
        <v>8</v>
      </c>
      <c r="B12" t="str">
        <v>ACC-TN-2025-08</v>
      </c>
      <c r="C12" t="str">
        <v>Mr. Venkatesh G (s/o Govindasamy)</v>
      </c>
      <c r="D12" t="str">
        <v>+91 99445 56677</v>
      </c>
      <c r="E12" t="str">
        <v>N/A</v>
      </c>
      <c r="F12" t="str">
        <v>Tiruchirappalli</v>
      </c>
      <c r="G12" t="str">
        <v>14/05/2025</v>
      </c>
      <c r="H12">
        <v>2025</v>
      </c>
      <c r="I12">
        <v>8500</v>
      </c>
      <c r="J12">
        <v>3100</v>
      </c>
      <c r="K12" t="str">
        <v>11th Cross, Main Road, Thillai Nagar, Trichy - 620018</v>
      </c>
      <c r="L12" t="str">
        <v>VALID_COMPLETE</v>
      </c>
    </row>
    <row r="13">
      <c r="A13">
        <v>9</v>
      </c>
      <c r="B13" t="str">
        <v>ACC-TN-2021-09</v>
      </c>
      <c r="C13" t="str">
        <v>Mrs. Kavitha N (w/o Natarajan)</v>
      </c>
      <c r="D13" t="str">
        <v>+91 94881 12233</v>
      </c>
      <c r="E13" t="str">
        <v>9488000009</v>
      </c>
      <c r="F13" t="str">
        <v>Pollachi</v>
      </c>
      <c r="G13" t="str">
        <v>01/12/2021</v>
      </c>
      <c r="H13">
        <v>2021</v>
      </c>
      <c r="I13">
        <v>45000</v>
      </c>
      <c r="J13">
        <v>11500</v>
      </c>
      <c r="K13" t="str">
        <v>34, New Scheme Road, Pollachi - 642002</v>
      </c>
      <c r="L13" t="str">
        <v>VALID_COMPLETE</v>
      </c>
    </row>
    <row r="14">
      <c r="A14">
        <v>10</v>
      </c>
      <c r="B14" t="str">
        <v>ACC-TN-2019-10</v>
      </c>
      <c r="C14" t="str">
        <v>Mr. Selvam P (s/o Perumal)</v>
      </c>
      <c r="D14" t="str">
        <v>+91 98433 34455</v>
      </c>
      <c r="E14" t="str">
        <v>N/A</v>
      </c>
      <c r="F14" t="str">
        <v>Karur</v>
      </c>
      <c r="G14" t="str">
        <v>08/09/2019</v>
      </c>
      <c r="H14">
        <v>2019</v>
      </c>
      <c r="I14">
        <v>20000</v>
      </c>
      <c r="J14">
        <v>4800</v>
      </c>
      <c r="K14" t="str">
        <v>5, Kovai Road, Opp Old Bus Stand, Karur - 639001</v>
      </c>
      <c r="L14" t="str">
        <v>VALID_COMPLETE</v>
      </c>
    </row>
    <row r="15">
      <c r="A15">
        <v>11</v>
      </c>
      <c r="B15" t="str">
        <v>ACC-TN-2023-11</v>
      </c>
      <c r="C15" t="str">
        <v>Ms. Anitha C (d/o Chandran)</v>
      </c>
      <c r="D15" t="str">
        <v/>
      </c>
      <c r="E15" t="str">
        <v>N/A</v>
      </c>
      <c r="F15" t="str">
        <v>Chennai</v>
      </c>
      <c r="G15" t="str">
        <v>22/11/2023</v>
      </c>
      <c r="H15">
        <v>2023</v>
      </c>
      <c r="I15">
        <v>200000</v>
      </c>
      <c r="J15">
        <v>85000</v>
      </c>
      <c r="K15" t="str">
        <v>102, Usman Road, T. Nagar, Chennai - 600017</v>
      </c>
      <c r="L15" t="str">
        <v>FLAG_MISSING_PHONE</v>
      </c>
    </row>
    <row r="16">
      <c r="A16">
        <v>12</v>
      </c>
      <c r="B16" t="str">
        <v>ACC-TN-2020-12</v>
      </c>
      <c r="C16" t="str">
        <v>Mr. Franklin David J (s/o Joseph)</v>
      </c>
      <c r="D16" t="str">
        <v>+91 97512 23344</v>
      </c>
      <c r="E16" t="str">
        <v>9751000012</v>
      </c>
      <c r="F16" t="str">
        <v>Tirunelveli</v>
      </c>
      <c r="G16" t="str">
        <v>30/07/2020</v>
      </c>
      <c r="H16">
        <v>2020</v>
      </c>
      <c r="I16">
        <v>35000</v>
      </c>
      <c r="J16">
        <v>10200</v>
      </c>
      <c r="K16" t="str">
        <v>17, High Ground, Palayamkottai, Tirunelveli - 627002</v>
      </c>
      <c r="L16" t="str">
        <v>VALID_COMPLETE</v>
      </c>
    </row>
    <row r="17">
      <c r="A17">
        <v>13</v>
      </c>
      <c r="B17" t="str">
        <v>ACC-TN-2024-13</v>
      </c>
      <c r="C17" t="str">
        <v>Mr. Thangavel B (s/o Boopathi)</v>
      </c>
      <c r="D17" t="str">
        <v>+91 98427 78899</v>
      </c>
      <c r="E17" t="str">
        <v>N/A</v>
      </c>
      <c r="F17" t="str">
        <v>Namakkal</v>
      </c>
      <c r="G17" t="str">
        <v>02/09/2024</v>
      </c>
      <c r="H17">
        <v>2024</v>
      </c>
      <c r="I17">
        <v>60000</v>
      </c>
      <c r="J17">
        <v>36000</v>
      </c>
      <c r="K17" t="str">
        <v>56, Paramathi Velur Road, Namakkal - 637001</v>
      </c>
      <c r="L17" t="str">
        <v>FLAG_MISSING_GUARANTOR</v>
      </c>
    </row>
    <row r="18">
      <c r="A18">
        <v>14</v>
      </c>
      <c r="B18" t="str">
        <v>ACC-TN-2022-14</v>
      </c>
      <c r="C18" t="str">
        <v>Mr. Meenakshi Sundaram S (s/o Sundaram)</v>
      </c>
      <c r="D18" t="str">
        <v>+91 99941 12233</v>
      </c>
      <c r="E18" t="str">
        <v>9994000014</v>
      </c>
      <c r="F18" t="str">
        <v>Madurai</v>
      </c>
      <c r="G18" t="str">
        <v>17/04/2022</v>
      </c>
      <c r="H18">
        <v>2022</v>
      </c>
      <c r="I18">
        <v>18000</v>
      </c>
      <c r="J18">
        <v>5100</v>
      </c>
      <c r="K18" t="str">
        <v>3, Alagar Kovil Road, Goripalayam, Madurai - 625002</v>
      </c>
      <c r="L18" t="str">
        <v>VALID_COMPLETE</v>
      </c>
    </row>
    <row r="19">
      <c r="A19">
        <v>15</v>
      </c>
      <c r="B19" t="str">
        <v>ACC-TN-2023-15</v>
      </c>
      <c r="C19" t="str">
        <v>Mr. Rajesh Kannan K (s/o Krishnan)</v>
      </c>
      <c r="D19" t="str">
        <v/>
      </c>
      <c r="E19" t="str">
        <v>N/A</v>
      </c>
      <c r="F19" t="str">
        <v/>
      </c>
      <c r="G19" t="str">
        <v>05/01/2023</v>
      </c>
      <c r="H19">
        <v>2023</v>
      </c>
      <c r="I19">
        <v>40000</v>
      </c>
      <c r="J19">
        <v>22000</v>
      </c>
      <c r="K19" t="str">
        <v/>
      </c>
      <c r="L19" t="str">
        <v>FLAG_TRIPLE_MISSING</v>
      </c>
    </row>
    <row r="20">
      <c r="A20">
        <v>16</v>
      </c>
      <c r="B20" t="str">
        <v>ACC-TN-2025-16</v>
      </c>
      <c r="C20" t="str">
        <v>Mrs. Revathi M (w/o Manikandan)</v>
      </c>
      <c r="D20" t="str">
        <v>+91 94426 67788</v>
      </c>
      <c r="E20" t="str">
        <v>N/A</v>
      </c>
      <c r="F20" t="str">
        <v>Thanjavur</v>
      </c>
      <c r="G20" t="str">
        <v>19/01/2025</v>
      </c>
      <c r="H20">
        <v>2025</v>
      </c>
      <c r="I20">
        <v>22000</v>
      </c>
      <c r="J20">
        <v>13800</v>
      </c>
      <c r="K20" t="str">
        <v>28, Gandhiji Road, Near Big Temple, Thanjavur - 613001</v>
      </c>
      <c r="L20" t="str">
        <v>VALID_COMPLETE</v>
      </c>
    </row>
    <row r="21">
      <c r="A21">
        <v>17</v>
      </c>
      <c r="B21" t="str">
        <v>ACC-TN-2018-17</v>
      </c>
      <c r="C21" t="str">
        <v>Mr. Vijayakumar D (s/o Dhanapal)</v>
      </c>
      <c r="D21" t="str">
        <v>+91 98940 01122</v>
      </c>
      <c r="E21" t="str">
        <v>9894000017</v>
      </c>
      <c r="F21" t="str">
        <v>Coimbatore</v>
      </c>
      <c r="G21" t="str">
        <v>10/05/2018</v>
      </c>
      <c r="H21">
        <v>2018</v>
      </c>
      <c r="I21">
        <v>85000</v>
      </c>
      <c r="J21">
        <v>12500</v>
      </c>
      <c r="K21" t="str">
        <v>92, Avinashi Road, Peelamedu, Coimbatore - 641004</v>
      </c>
      <c r="L21" t="str">
        <v>VALID_COMPLETE</v>
      </c>
    </row>
    <row r="22">
      <c r="A22">
        <v>18</v>
      </c>
      <c r="B22" t="str">
        <v>ACC-TN-2026-18</v>
      </c>
      <c r="C22" t="str">
        <v>Mrs. Yasmin Banu A (w/o Anwar)</v>
      </c>
      <c r="D22" t="str">
        <v>+91 98650 09988</v>
      </c>
      <c r="E22" t="str">
        <v>N/A</v>
      </c>
      <c r="F22" t="str">
        <v>Vellore</v>
      </c>
      <c r="G22" t="str">
        <v>11/02/2026</v>
      </c>
      <c r="H22">
        <v>2026</v>
      </c>
      <c r="I22">
        <v>12000</v>
      </c>
      <c r="J22">
        <v>11200</v>
      </c>
      <c r="K22" t="str">
        <v>14, Chittor Road, Katpadi, Vellore - 632007</v>
      </c>
      <c r="L22" t="str">
        <v>VALID_COMPLETE</v>
      </c>
    </row>
    <row r="23">
      <c r="A23">
        <v>19</v>
      </c>
      <c r="B23" t="str">
        <v>ACC-TN-2021-19</v>
      </c>
      <c r="C23" t="str">
        <v>Mr. Suresh Kumar E (s/o Elangovan)</v>
      </c>
      <c r="D23" t="str">
        <v>+91 97903 34455</v>
      </c>
      <c r="E23" t="str">
        <v>9790000019</v>
      </c>
      <c r="F23" t="str">
        <v>Virudhunagar</v>
      </c>
      <c r="G23" t="str">
        <v>28/03/2021</v>
      </c>
      <c r="H23">
        <v>2021</v>
      </c>
      <c r="I23">
        <v>65000</v>
      </c>
      <c r="J23">
        <v>21000</v>
      </c>
      <c r="K23" t="str">
        <v>64, South Car Street, Sivakasi - 626123</v>
      </c>
      <c r="L23" t="str">
        <v>VALID_COMPLETE</v>
      </c>
    </row>
    <row r="24">
      <c r="A24">
        <v>20</v>
      </c>
      <c r="B24" t="str">
        <v>ACC-TN-2024-20</v>
      </c>
      <c r="C24" t="str">
        <v>Mrs. Bhuvaneswari L (w/o Logan)</v>
      </c>
      <c r="D24" t="str">
        <v/>
      </c>
      <c r="E24" t="str">
        <v>N/A</v>
      </c>
      <c r="F24" t="str">
        <v>Theni</v>
      </c>
      <c r="G24" t="str">
        <v>15/06/2024</v>
      </c>
      <c r="H24">
        <v>2024</v>
      </c>
      <c r="I24">
        <v>28000</v>
      </c>
      <c r="J24">
        <v>17600</v>
      </c>
      <c r="K24" t="str">
        <v>81, Periyakulam Road, Theni - 625531</v>
      </c>
      <c r="L24" t="str">
        <v>FLAG_MISSING_PHONE</v>
      </c>
    </row>
    <row r="25">
      <c r="A25">
        <v>21</v>
      </c>
      <c r="B25" t="str">
        <v>ACC-TN-2020-21</v>
      </c>
      <c r="C25" t="str">
        <v>Mr. Syed Ibrahim H (s/o Hameed)</v>
      </c>
      <c r="D25" t="str">
        <v>+91 94874 45566</v>
      </c>
      <c r="E25" t="str">
        <v>9487000021</v>
      </c>
      <c r="F25" t="str">
        <v>Nagapattinam</v>
      </c>
      <c r="G25" t="str">
        <v>09/10/2020</v>
      </c>
      <c r="H25">
        <v>2020</v>
      </c>
      <c r="I25">
        <v>150000</v>
      </c>
      <c r="J25">
        <v>55000</v>
      </c>
      <c r="K25" t="str">
        <v>7, Beach Road, Nagapattinam - 611001</v>
      </c>
      <c r="L25" t="str">
        <v>VALID_COMPLETE</v>
      </c>
    </row>
    <row r="26">
      <c r="A26">
        <v>22</v>
      </c>
      <c r="B26" t="str">
        <v>ACC-TN-2022-22</v>
      </c>
      <c r="C26" t="str">
        <v>Mr. Charles Antony W (s/o William)</v>
      </c>
      <c r="D26" t="str">
        <v>+91 98428 87766</v>
      </c>
      <c r="E26" t="str">
        <v>N/A</v>
      </c>
      <c r="F26" t="str">
        <v>Kanyakumari</v>
      </c>
      <c r="G26" t="str">
        <v>31/08/2022</v>
      </c>
      <c r="H26">
        <v>2022</v>
      </c>
      <c r="I26">
        <v>32000</v>
      </c>
      <c r="J26">
        <v>14800</v>
      </c>
      <c r="K26" t="str">
        <v>39, Cape Road, Nagercoil - 629001</v>
      </c>
      <c r="L26" t="str">
        <v>VALID_COMPLETE</v>
      </c>
    </row>
    <row r="27">
      <c r="A27">
        <v>23</v>
      </c>
      <c r="B27" t="str">
        <v>ACC-TN-2019-23</v>
      </c>
      <c r="C27" t="str">
        <v>Mrs. Gandhimathi O (w/o Oyyappan)</v>
      </c>
      <c r="D27" t="str">
        <v>+91 97886 65544</v>
      </c>
      <c r="E27" t="str">
        <v>N/A</v>
      </c>
      <c r="F27" t="str">
        <v>Pudukkottai</v>
      </c>
      <c r="G27" t="str">
        <v>14/12/2019</v>
      </c>
      <c r="H27">
        <v>2019</v>
      </c>
      <c r="I27">
        <v>14000</v>
      </c>
      <c r="J27">
        <v>3200</v>
      </c>
      <c r="K27" t="str">
        <v>19, West Main Street, Town Hall, Pudukkottai - 622001</v>
      </c>
      <c r="L27" t="str">
        <v>FLAG_MISSING_GUARANTOR</v>
      </c>
    </row>
    <row r="28">
      <c r="A28">
        <v>24</v>
      </c>
      <c r="B28" t="str">
        <v>ACC-TN-2026-24</v>
      </c>
      <c r="C28" t="str">
        <v>Mr. Mohamed Rizwan Z (s/o Zakir)</v>
      </c>
      <c r="D28" t="str">
        <v>+91 99432 21100</v>
      </c>
      <c r="E28" t="str">
        <v>9943000024</v>
      </c>
      <c r="F28" t="str">
        <v>Cuddalore</v>
      </c>
      <c r="G28" t="str">
        <v>01/08/2026</v>
      </c>
      <c r="H28">
        <v>2026</v>
      </c>
      <c r="I28">
        <v>95000</v>
      </c>
      <c r="J28">
        <v>89000</v>
      </c>
      <c r="K28" t="str">
        <v>50, Subbaraya Chetty St, Port Rd, Cuddalore - 607003</v>
      </c>
      <c r="L28" t="str">
        <v>VALID_COMPLETE</v>
      </c>
    </row>
    <row r="30">
      <c r="A30" t="str">
        <v/>
      </c>
      <c r="B30" t="str">
        <v>AUDIT TOTALS</v>
      </c>
      <c r="C30" t="str">
        <v>Active Borrowers: 24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f>SUM(I5:I28)</f>
        <v>1254500</v>
      </c>
      <c r="J30">
        <f>SUM(J5:J28)</f>
        <v>530950</v>
      </c>
      <c r="K30" t="str">
        <v/>
      </c>
      <c r="L30" t="str">
        <v>Audited Set 2</v>
      </c>
    </row>
  </sheetData>
  <mergeCells count="2">
    <mergeCell ref="A1:L1"/>
    <mergeCell ref="A2:L2"/>
  </mergeCells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Field_Operations_Log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