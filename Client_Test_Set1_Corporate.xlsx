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_Master_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cols>
    <col min="1" max="1" width="14.83203125" customWidth="1"/>
    <col min="2" max="2" width="25.83203125" customWidth="1"/>
    <col min="3" max="3" width="28.83203125" customWidth="1"/>
    <col min="4" max="4" width="16.83203125" customWidth="1"/>
    <col min="5" max="5" width="14.83203125" customWidth="1"/>
    <col min="6" max="6" width="14.83203125" customWidth="1"/>
    <col min="7" max="7" width="18.83203125" customWidth="1"/>
    <col min="8" max="8" width="22.83203125" customWidth="1"/>
    <col min="9" max="9" width="20.83203125" customWidth="1"/>
    <col min="10" max="10" width="14.83203125" customWidth="1"/>
    <col min="11" max="11" width="45.83203125" customWidth="1"/>
  </cols>
  <sheetData>
    <row r="1">
      <c r="A1" t="str">
        <v>CLIENT MASTER DIRECTORY — GENERAL TEST DATASET (SET 1: CORPORATE REGISTER)</v>
      </c>
    </row>
    <row r="2">
      <c r="A2" t="str">
        <v>24 Mixed Clients | Variable Areas &amp; Amounts | Joined 2018-2026 | Intentional Gaps (Phone, Area, Guarantor) for System Ingestion Testing</v>
      </c>
    </row>
    <row r="4">
      <c r="A4" t="str">
        <v>Client Code</v>
      </c>
      <c r="B4" t="str">
        <v>Customer Name</v>
      </c>
      <c r="C4" t="str">
        <v>Area / Town</v>
      </c>
      <c r="D4" t="str">
        <v>Contact Phone</v>
      </c>
      <c r="E4" t="str">
        <v>Joining Date</v>
      </c>
      <c r="F4" t="str">
        <v>Joining Year</v>
      </c>
      <c r="G4" t="str">
        <v>Credit Limit (INR)</v>
      </c>
      <c r="H4" t="str">
        <v>Daily Installment (INR)</v>
      </c>
      <c r="I4" t="str">
        <v>Guarantor Name</v>
      </c>
      <c r="J4" t="str">
        <v>KYC Status</v>
      </c>
      <c r="K4" t="str">
        <v>Test Scenario / Audit Notes</v>
      </c>
    </row>
    <row r="5">
      <c r="A5" t="str">
        <v>CLI-1001</v>
      </c>
      <c r="B5" t="str">
        <v>Muthukumar M</v>
      </c>
      <c r="C5" t="str">
        <v>Madurai (Simmakkal)</v>
      </c>
      <c r="D5" t="str">
        <v>9842156789</v>
      </c>
      <c r="E5" t="str">
        <v>2019-04-12</v>
      </c>
      <c r="F5">
        <v>2019</v>
      </c>
      <c r="G5">
        <v>25000</v>
      </c>
      <c r="H5">
        <v>750</v>
      </c>
      <c r="I5" t="str">
        <v>S. Palanisamy</v>
      </c>
      <c r="J5" t="str">
        <v>Verified</v>
      </c>
      <c r="K5" t="str">
        <v>Clean baseline record (2019)</v>
      </c>
    </row>
    <row r="6">
      <c r="A6" t="str">
        <v>CLI-1002</v>
      </c>
      <c r="B6" t="str">
        <v>Priya Dharshini S</v>
      </c>
      <c r="C6" t="str">
        <v>Coimbatore (Gandhipuram)</v>
      </c>
      <c r="D6" t="str">
        <v>9443218765</v>
      </c>
      <c r="E6" t="str">
        <v>2021-08-20</v>
      </c>
      <c r="F6">
        <v>2021</v>
      </c>
      <c r="G6">
        <v>50000</v>
      </c>
      <c r="H6">
        <v>1500</v>
      </c>
      <c r="I6" t="str">
        <v>R. Saravanan</v>
      </c>
      <c r="J6" t="str">
        <v>Verified</v>
      </c>
      <c r="K6" t="str">
        <v>Medium amount, female borrower</v>
      </c>
    </row>
    <row r="7">
      <c r="A7" t="str">
        <v>CLI-1003</v>
      </c>
      <c r="B7" t="str">
        <v>Mohammed Farook A</v>
      </c>
      <c r="C7" t="str">
        <v>Tiruppur (Avinashi Road)</v>
      </c>
      <c r="D7" t="str">
        <v/>
      </c>
      <c r="E7" t="str">
        <v>2020-02-15</v>
      </c>
      <c r="F7">
        <v>2020</v>
      </c>
      <c r="G7">
        <v>75000</v>
      </c>
      <c r="H7">
        <v>2250</v>
      </c>
      <c r="I7" t="str">
        <v>K. Ismail</v>
      </c>
      <c r="J7" t="str">
        <v>Incomplete</v>
      </c>
      <c r="K7" t="str">
        <v>MISSING PHONE NUMBER test case</v>
      </c>
    </row>
    <row r="8">
      <c r="A8" t="str">
        <v>CLI-1004</v>
      </c>
      <c r="B8" t="str">
        <v>Arumugam V</v>
      </c>
      <c r="C8" t="str">
        <v>Salem (Five Roads)</v>
      </c>
      <c r="D8" t="str">
        <v>9789123456</v>
      </c>
      <c r="E8" t="str">
        <v>2018-11-05</v>
      </c>
      <c r="F8">
        <v>2018</v>
      </c>
      <c r="G8">
        <v>10000</v>
      </c>
      <c r="H8">
        <v>350</v>
      </c>
      <c r="I8" t="str">
        <v/>
      </c>
      <c r="J8" t="str">
        <v>Verified</v>
      </c>
      <c r="K8" t="str">
        <v>Oldest account (2018), missing guarantor</v>
      </c>
    </row>
    <row r="9">
      <c r="A9" t="str">
        <v>CLI-1005</v>
      </c>
      <c r="B9" t="str">
        <v>Deepa Lakshmi K</v>
      </c>
      <c r="C9" t="str">
        <v/>
      </c>
      <c r="D9" t="str">
        <v>9894561230</v>
      </c>
      <c r="E9" t="str">
        <v>2023-06-18</v>
      </c>
      <c r="F9">
        <v>2023</v>
      </c>
      <c r="G9">
        <v>30000</v>
      </c>
      <c r="H9">
        <v>900</v>
      </c>
      <c r="I9" t="str">
        <v>T. Karthikeyan</v>
      </c>
      <c r="J9" t="str">
        <v>Pending</v>
      </c>
      <c r="K9" t="str">
        <v>MISSING LOCATION (Area &amp; Address blank)</v>
      </c>
    </row>
    <row r="10">
      <c r="A10" t="str">
        <v>CLI-1006</v>
      </c>
      <c r="B10" t="str">
        <v>Balasubramanian R</v>
      </c>
      <c r="C10" t="str">
        <v>Erode (Brough Road)</v>
      </c>
      <c r="D10" t="str">
        <v>9865123987</v>
      </c>
      <c r="E10" t="str">
        <v>2022-01-10</v>
      </c>
      <c r="F10">
        <v>2022</v>
      </c>
      <c r="G10">
        <v>120000</v>
      </c>
      <c r="H10">
        <v>3600</v>
      </c>
      <c r="I10" t="str">
        <v>B. Murugesan</v>
      </c>
      <c r="J10" t="str">
        <v>Verified</v>
      </c>
      <c r="K10" t="str">
        <v>High value loan (₹1,20,000), complete data</v>
      </c>
    </row>
    <row r="11">
      <c r="A11" t="str">
        <v>CLI-1007</v>
      </c>
      <c r="B11" t="str">
        <v>Shanthi T</v>
      </c>
      <c r="C11" t="str">
        <v>Dindigul (Palani Road)</v>
      </c>
      <c r="D11" t="str">
        <v/>
      </c>
      <c r="E11" t="str">
        <v>2024-03-25</v>
      </c>
      <c r="F11">
        <v>2024</v>
      </c>
      <c r="G11">
        <v>15000</v>
      </c>
      <c r="H11">
        <v>450</v>
      </c>
      <c r="I11" t="str">
        <v/>
      </c>
      <c r="J11" t="str">
        <v>Incomplete</v>
      </c>
      <c r="K11" t="str">
        <v>MISSING PHONE &amp; GUARANTOR (Dual missing)</v>
      </c>
    </row>
    <row r="12">
      <c r="A12" t="str">
        <v>CLI-1008</v>
      </c>
      <c r="B12" t="str">
        <v>Venkatesh G</v>
      </c>
      <c r="C12" t="str">
        <v>Trichy (Thillai Nagar)</v>
      </c>
      <c r="D12" t="str">
        <v>9944556677</v>
      </c>
      <c r="E12" t="str">
        <v>2025-05-14</v>
      </c>
      <c r="F12">
        <v>2025</v>
      </c>
      <c r="G12">
        <v>8500</v>
      </c>
      <c r="H12">
        <v>260</v>
      </c>
      <c r="I12" t="str">
        <v>P. Ramesh</v>
      </c>
      <c r="J12" t="str">
        <v>Verified</v>
      </c>
      <c r="K12" t="str">
        <v>Micro-loan (₹8,500), recent year 2025</v>
      </c>
    </row>
    <row r="13">
      <c r="A13" t="str">
        <v>CLI-1009</v>
      </c>
      <c r="B13" t="str">
        <v>Kavitha N</v>
      </c>
      <c r="C13" t="str">
        <v>Pollachi (New Scheme Road)</v>
      </c>
      <c r="D13" t="str">
        <v>9488112233</v>
      </c>
      <c r="E13" t="str">
        <v>2021-12-01</v>
      </c>
      <c r="F13">
        <v>2021</v>
      </c>
      <c r="G13">
        <v>45000</v>
      </c>
      <c r="H13">
        <v>1350</v>
      </c>
      <c r="I13" t="str">
        <v>N. Mani</v>
      </c>
      <c r="J13" t="str">
        <v>Verified</v>
      </c>
      <c r="K13" t="str">
        <v>Mid-tier loan, semi-urban agro hub</v>
      </c>
    </row>
    <row r="14">
      <c r="A14" t="str">
        <v>CLI-1010</v>
      </c>
      <c r="B14" t="str">
        <v>Selvam P</v>
      </c>
      <c r="C14" t="str">
        <v>Karur (Bus Stand)</v>
      </c>
      <c r="D14" t="str">
        <v>9843334455</v>
      </c>
      <c r="E14" t="str">
        <v>2019-09-08</v>
      </c>
      <c r="F14">
        <v>2019</v>
      </c>
      <c r="G14">
        <v>20000</v>
      </c>
      <c r="H14">
        <v>600</v>
      </c>
      <c r="I14" t="str">
        <v>S. Loganathan</v>
      </c>
      <c r="J14" t="str">
        <v>Verified</v>
      </c>
      <c r="K14" t="str">
        <v>Regular retail account (2019)</v>
      </c>
    </row>
    <row r="15">
      <c r="A15" t="str">
        <v>CLI-1011</v>
      </c>
      <c r="B15" t="str">
        <v>Anitha C</v>
      </c>
      <c r="C15" t="str">
        <v>Chennai (T. Nagar)</v>
      </c>
      <c r="D15" t="str">
        <v/>
      </c>
      <c r="E15" t="str">
        <v>2023-11-22</v>
      </c>
      <c r="F15">
        <v>2023</v>
      </c>
      <c r="G15">
        <v>200000</v>
      </c>
      <c r="H15">
        <v>6000</v>
      </c>
      <c r="I15" t="str">
        <v>C. Rajan</v>
      </c>
      <c r="J15" t="str">
        <v>Pending</v>
      </c>
      <c r="K15" t="str">
        <v>Highest ticket (₹2,00,000), MISSING PHONE</v>
      </c>
    </row>
    <row r="16">
      <c r="A16" t="str">
        <v>CLI-1012</v>
      </c>
      <c r="B16" t="str">
        <v>Franklin David J</v>
      </c>
      <c r="C16" t="str">
        <v>Tirunelveli (Palayamkottai)</v>
      </c>
      <c r="D16" t="str">
        <v>9751223344</v>
      </c>
      <c r="E16" t="str">
        <v>2020-07-30</v>
      </c>
      <c r="F16">
        <v>2020</v>
      </c>
      <c r="G16">
        <v>35000</v>
      </c>
      <c r="H16">
        <v>1050</v>
      </c>
      <c r="I16" t="str">
        <v>J. Mary</v>
      </c>
      <c r="J16" t="str">
        <v>Verified</v>
      </c>
      <c r="K16" t="str">
        <v>South region borrower, complete</v>
      </c>
    </row>
    <row r="17">
      <c r="A17" t="str">
        <v>CLI-1013</v>
      </c>
      <c r="B17" t="str">
        <v>Thangavel B</v>
      </c>
      <c r="C17" t="str">
        <v>Namakkal (Paramathi Road)</v>
      </c>
      <c r="D17" t="str">
        <v>9842778899</v>
      </c>
      <c r="E17" t="str">
        <v>2024-09-02</v>
      </c>
      <c r="F17">
        <v>2024</v>
      </c>
      <c r="G17">
        <v>60000</v>
      </c>
      <c r="H17">
        <v>1800</v>
      </c>
      <c r="I17" t="str">
        <v/>
      </c>
      <c r="J17" t="str">
        <v>Verified</v>
      </c>
      <c r="K17" t="str">
        <v>Logistics operator, missing guarantor</v>
      </c>
    </row>
    <row r="18">
      <c r="A18" t="str">
        <v>CLI-1014</v>
      </c>
      <c r="B18" t="str">
        <v>Meenakshi Sundaram S</v>
      </c>
      <c r="C18" t="str">
        <v>Madurai (Goripalayam)</v>
      </c>
      <c r="D18" t="str">
        <v>9994112233</v>
      </c>
      <c r="E18" t="str">
        <v>2022-04-17</v>
      </c>
      <c r="F18">
        <v>2022</v>
      </c>
      <c r="G18">
        <v>18000</v>
      </c>
      <c r="H18">
        <v>540</v>
      </c>
      <c r="I18" t="str">
        <v>S. Sundaram</v>
      </c>
      <c r="J18" t="str">
        <v>Verified</v>
      </c>
      <c r="K18" t="str">
        <v>Long name string test, normal flow</v>
      </c>
    </row>
    <row r="19">
      <c r="A19" t="str">
        <v>CLI-1015</v>
      </c>
      <c r="B19" t="str">
        <v>Rajesh Kannan K</v>
      </c>
      <c r="C19" t="str">
        <v/>
      </c>
      <c r="D19" t="str">
        <v/>
      </c>
      <c r="E19" t="str">
        <v>2023-01-05</v>
      </c>
      <c r="F19">
        <v>2023</v>
      </c>
      <c r="G19">
        <v>40000</v>
      </c>
      <c r="H19">
        <v>1200</v>
      </c>
      <c r="I19" t="str">
        <v/>
      </c>
      <c r="J19" t="str">
        <v>Incomplete</v>
      </c>
      <c r="K19" t="str">
        <v>CRITICAL GAP: Missing Area, Phone &amp; Guarantor</v>
      </c>
    </row>
    <row r="20">
      <c r="A20" t="str">
        <v>CLI-1016</v>
      </c>
      <c r="B20" t="str">
        <v>Revathi M</v>
      </c>
      <c r="C20" t="str">
        <v>Thanjavur (Old Bus Stand)</v>
      </c>
      <c r="D20" t="str">
        <v>9442667788</v>
      </c>
      <c r="E20" t="str">
        <v>2025-01-19</v>
      </c>
      <c r="F20">
        <v>2025</v>
      </c>
      <c r="G20">
        <v>22000</v>
      </c>
      <c r="H20">
        <v>660</v>
      </c>
      <c r="I20" t="str">
        <v>M. Senthil</v>
      </c>
      <c r="J20" t="str">
        <v>Verified</v>
      </c>
      <c r="K20" t="str">
        <v>Delta handloom weaver, 2025 registration</v>
      </c>
    </row>
    <row r="21">
      <c r="A21" t="str">
        <v>CLI-1017</v>
      </c>
      <c r="B21" t="str">
        <v>Vijayakumar D</v>
      </c>
      <c r="C21" t="str">
        <v>Coimbatore (Peelamedu)</v>
      </c>
      <c r="D21" t="str">
        <v>9894001122</v>
      </c>
      <c r="E21" t="str">
        <v>2018-05-10</v>
      </c>
      <c r="F21">
        <v>2018</v>
      </c>
      <c r="G21">
        <v>85000</v>
      </c>
      <c r="H21">
        <v>2550</v>
      </c>
      <c r="I21" t="str">
        <v>D. Dhanapal</v>
      </c>
      <c r="J21" t="str">
        <v>Verified</v>
      </c>
      <c r="K21" t="str">
        <v>Senior joined borrower (2018 cohort)</v>
      </c>
    </row>
    <row r="22">
      <c r="A22" t="str">
        <v>CLI-1018</v>
      </c>
      <c r="B22" t="str">
        <v>Yasmin Banu A</v>
      </c>
      <c r="C22" t="str">
        <v>Vellore (Katpadi)</v>
      </c>
      <c r="D22" t="str">
        <v>9865009988</v>
      </c>
      <c r="E22" t="str">
        <v>2026-02-11</v>
      </c>
      <c r="F22">
        <v>2026</v>
      </c>
      <c r="G22">
        <v>12000</v>
      </c>
      <c r="H22">
        <v>360</v>
      </c>
      <c r="I22" t="str">
        <v>A. Abdul</v>
      </c>
      <c r="J22" t="str">
        <v>Verified</v>
      </c>
      <c r="K22" t="str">
        <v>Early 2026 onboarded customer</v>
      </c>
    </row>
    <row r="23">
      <c r="A23" t="str">
        <v>CLI-1019</v>
      </c>
      <c r="B23" t="str">
        <v>Suresh Kumar E</v>
      </c>
      <c r="C23" t="str">
        <v>Sivakasi (Car Street)</v>
      </c>
      <c r="D23" t="str">
        <v>9790334455</v>
      </c>
      <c r="E23" t="str">
        <v>2021-03-28</v>
      </c>
      <c r="F23">
        <v>2021</v>
      </c>
      <c r="G23">
        <v>65000</v>
      </c>
      <c r="H23">
        <v>1950</v>
      </c>
      <c r="I23" t="str">
        <v>E. Elango</v>
      </c>
      <c r="J23" t="str">
        <v>Verified</v>
      </c>
      <c r="K23" t="str">
        <v>Commercial fireworks &amp; printing firm</v>
      </c>
    </row>
    <row r="24">
      <c r="A24" t="str">
        <v>CLI-1020</v>
      </c>
      <c r="B24" t="str">
        <v>Bhuvaneswari L</v>
      </c>
      <c r="C24" t="str">
        <v>Theni (Periyakulam Road)</v>
      </c>
      <c r="D24" t="str">
        <v/>
      </c>
      <c r="E24" t="str">
        <v>2024-06-15</v>
      </c>
      <c r="F24">
        <v>2024</v>
      </c>
      <c r="G24">
        <v>28000</v>
      </c>
      <c r="H24">
        <v>840</v>
      </c>
      <c r="I24" t="str">
        <v>L. Lakshmanan</v>
      </c>
      <c r="J24" t="str">
        <v>Pending</v>
      </c>
      <c r="K24" t="str">
        <v>MISSING PHONE (Cardamom hill region)</v>
      </c>
    </row>
    <row r="25">
      <c r="A25" t="str">
        <v>CLI-1021</v>
      </c>
      <c r="B25" t="str">
        <v>Syed Ibrahim H</v>
      </c>
      <c r="C25" t="str">
        <v>Nagapattinam (Beach Road)</v>
      </c>
      <c r="D25" t="str">
        <v>9487445566</v>
      </c>
      <c r="E25" t="str">
        <v>2020-10-09</v>
      </c>
      <c r="F25">
        <v>2020</v>
      </c>
      <c r="G25">
        <v>150000</v>
      </c>
      <c r="H25">
        <v>4500</v>
      </c>
      <c r="I25" t="str">
        <v>H. Hameed</v>
      </c>
      <c r="J25" t="str">
        <v>Verified</v>
      </c>
      <c r="K25" t="str">
        <v>High value fishing vessel enterprise</v>
      </c>
    </row>
    <row r="26">
      <c r="A26" t="str">
        <v>CLI-1022</v>
      </c>
      <c r="B26" t="str">
        <v>Charles Antony W</v>
      </c>
      <c r="C26" t="str">
        <v>Kanyakumari (Nagercoil)</v>
      </c>
      <c r="D26" t="str">
        <v>9842887766</v>
      </c>
      <c r="E26" t="str">
        <v>2022-08-31</v>
      </c>
      <c r="F26">
        <v>2022</v>
      </c>
      <c r="G26">
        <v>32000</v>
      </c>
      <c r="H26">
        <v>960</v>
      </c>
      <c r="I26" t="str">
        <v>W. William</v>
      </c>
      <c r="J26" t="str">
        <v>Verified</v>
      </c>
      <c r="K26" t="str">
        <v>Deep south retail spices shop</v>
      </c>
    </row>
    <row r="27">
      <c r="A27" t="str">
        <v>CLI-1023</v>
      </c>
      <c r="B27" t="str">
        <v>Gandhimathi O</v>
      </c>
      <c r="C27" t="str">
        <v>Pudukkottai (Town Hall)</v>
      </c>
      <c r="D27" t="str">
        <v>9788665544</v>
      </c>
      <c r="E27" t="str">
        <v>2019-12-14</v>
      </c>
      <c r="F27">
        <v>2019</v>
      </c>
      <c r="G27">
        <v>14000</v>
      </c>
      <c r="H27">
        <v>420</v>
      </c>
      <c r="I27" t="str">
        <v/>
      </c>
      <c r="J27" t="str">
        <v>Verified</v>
      </c>
      <c r="K27" t="str">
        <v>Local dairy unit, missing guarantor</v>
      </c>
    </row>
    <row r="28">
      <c r="A28" t="str">
        <v>CLI-1024</v>
      </c>
      <c r="B28" t="str">
        <v>Mohamed Rizwan Z</v>
      </c>
      <c r="C28" t="str">
        <v>Cuddalore (Port Road)</v>
      </c>
      <c r="D28" t="str">
        <v>9943221100</v>
      </c>
      <c r="E28" t="str">
        <v>2026-08-01</v>
      </c>
      <c r="F28">
        <v>2026</v>
      </c>
      <c r="G28">
        <v>95000</v>
      </c>
      <c r="H28">
        <v>2850</v>
      </c>
      <c r="I28" t="str">
        <v>Z. Zakir Hussain</v>
      </c>
      <c r="J28" t="str">
        <v>Verified</v>
      </c>
      <c r="K28" t="str">
        <v>Latest 2026 late joiner, high loan</v>
      </c>
    </row>
    <row r="30">
      <c r="A30" t="str">
        <v>TOTAL / SUMMARY</v>
      </c>
      <c r="B30" t="str">
        <v>24 Records Loaded</v>
      </c>
      <c r="C30" t="str">
        <v/>
      </c>
      <c r="D30" t="str">
        <v/>
      </c>
      <c r="E30" t="str">
        <v/>
      </c>
      <c r="F30" t="str">
        <v>Total Sanctioned:</v>
      </c>
      <c r="G30">
        <f>SUM(G5:G28)</f>
        <v>1254500</v>
      </c>
      <c r="H30">
        <f>SUM(H5:H28)</f>
        <v>37980</v>
      </c>
      <c r="I30" t="str">
        <v/>
      </c>
      <c r="J30" t="str">
        <v/>
      </c>
      <c r="K30" t="str">
        <v>Formula Summary Row for Automated Audit Verification</v>
      </c>
    </row>
  </sheetData>
  <mergeCells count="2">
    <mergeCell ref="A1:K1"/>
    <mergeCell ref="A2:K2"/>
  </mergeCells>
  <ignoredErrors>
    <ignoredError numberStoredAsText="1" sqref="A1:K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Client_Master_Register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